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dicz\"/>
    </mc:Choice>
  </mc:AlternateContent>
  <xr:revisionPtr revIDLastSave="0" documentId="13_ncr:1_{C38371A6-4347-477F-A4FE-792303D1B68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1" sheetId="1" r:id="rId1"/>
  </sheets>
  <definedNames>
    <definedName name="_xlnm._FilterDatabase" localSheetId="0" hidden="1">data1!$A$1:$D$2</definedName>
  </definedNames>
  <calcPr calcId="181029"/>
</workbook>
</file>

<file path=xl/calcChain.xml><?xml version="1.0" encoding="utf-8"?>
<calcChain xmlns="http://schemas.openxmlformats.org/spreadsheetml/2006/main">
  <c r="C3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2" i="1"/>
</calcChain>
</file>

<file path=xl/sharedStrings.xml><?xml version="1.0" encoding="utf-8"?>
<sst xmlns="http://schemas.openxmlformats.org/spreadsheetml/2006/main" count="167" uniqueCount="82">
  <si>
    <t>label</t>
  </si>
  <si>
    <t>group</t>
  </si>
  <si>
    <t>skipped</t>
  </si>
  <si>
    <t>rule</t>
  </si>
  <si>
    <t>role</t>
  </si>
  <si>
    <t>_na</t>
  </si>
  <si>
    <t>entities</t>
  </si>
  <si>
    <t>concepts</t>
  </si>
  <si>
    <t>SalesNet</t>
  </si>
  <si>
    <t>MaterialCosts</t>
  </si>
  <si>
    <t>OperatingProfit</t>
  </si>
  <si>
    <t>OperatingProfit2AssetsNongoodwillNoncash</t>
  </si>
  <si>
    <t>OperatingProfit2Sales</t>
  </si>
  <si>
    <t>AssetsNongoodwillNoncash</t>
  </si>
  <si>
    <t>DebtBearingInterest</t>
  </si>
  <si>
    <t>OperatingProfit2DebtsBearingInterest</t>
  </si>
  <si>
    <t>Sales2AssetsNongoodwillNoncash</t>
  </si>
  <si>
    <t>Sales2MaterialCosts</t>
  </si>
  <si>
    <t>Sales2DebtsBearingInterest</t>
  </si>
  <si>
    <t>AddedValue</t>
  </si>
  <si>
    <t>DirectLabor</t>
  </si>
  <si>
    <t>AddedValue2Sales</t>
  </si>
  <si>
    <t>SalesMat,OperProfit,TablFin</t>
  </si>
  <si>
    <t>SalesMat</t>
  </si>
  <si>
    <t>OperProfit,TablFin</t>
  </si>
  <si>
    <t>OperProfitRoi,TablFinRatios</t>
  </si>
  <si>
    <t>TablFin</t>
  </si>
  <si>
    <t>TablFinRatios</t>
  </si>
  <si>
    <t>AddvalLab,TablAddval</t>
  </si>
  <si>
    <t>SalesMat,OperProfit,TablAddvalRatios</t>
  </si>
  <si>
    <t>color</t>
  </si>
  <si>
    <t>Consolidated</t>
  </si>
  <si>
    <t>magenta</t>
  </si>
  <si>
    <t>Montmagny</t>
  </si>
  <si>
    <t>Mexico</t>
  </si>
  <si>
    <t>Elka</t>
  </si>
  <si>
    <t>Toronto</t>
  </si>
  <si>
    <t>Romania</t>
  </si>
  <si>
    <t>dodgerblue</t>
  </si>
  <si>
    <t>purple</t>
  </si>
  <si>
    <t>seagreen</t>
  </si>
  <si>
    <t>blue</t>
  </si>
  <si>
    <t>black</t>
  </si>
  <si>
    <t>LineGeom</t>
  </si>
  <si>
    <t>TsFmt</t>
  </si>
  <si>
    <t>GtFmt</t>
  </si>
  <si>
    <t>forestgreen</t>
  </si>
  <si>
    <t>darkgreen</t>
  </si>
  <si>
    <t>Net Sales</t>
  </si>
  <si>
    <t>Material Costs</t>
  </si>
  <si>
    <t>Operating EBITDA</t>
  </si>
  <si>
    <t>Operating EBITDA / Net Assets</t>
  </si>
  <si>
    <t>Operating EBITDA / Net Sales</t>
  </si>
  <si>
    <t>Assets Nongoodwill Noncash</t>
  </si>
  <si>
    <t>Debt Bearing Interest</t>
  </si>
  <si>
    <t>Added Value</t>
  </si>
  <si>
    <t>Direct Labor</t>
  </si>
  <si>
    <t>Operating Profit / Debts Bearing Interest</t>
  </si>
  <si>
    <t>Net Sales / Net Assets</t>
  </si>
  <si>
    <t>tomato</t>
  </si>
  <si>
    <t>Sales / Debt Bearing Interest</t>
  </si>
  <si>
    <t>Sales / Material Costs</t>
  </si>
  <si>
    <t>teal</t>
  </si>
  <si>
    <t>maroon</t>
  </si>
  <si>
    <t>indigo</t>
  </si>
  <si>
    <t>Added Value / Net Sales</t>
  </si>
  <si>
    <t>darkorchid</t>
  </si>
  <si>
    <t>size=2~shape=dash</t>
  </si>
  <si>
    <t>Bridge,core</t>
  </si>
  <si>
    <t>Bridge,Earnings</t>
  </si>
  <si>
    <t>scale=0.000001~mask={:,.1f}</t>
  </si>
  <si>
    <t>scale=1~mask={:,.2f}</t>
  </si>
  <si>
    <t>scale=100~mask={:,.1f}%</t>
  </si>
  <si>
    <t>scale=100~mask={:,.0f}%</t>
  </si>
  <si>
    <t>scale=0.000001~mask={:,.1f} M$</t>
  </si>
  <si>
    <t>CieA</t>
  </si>
  <si>
    <t>CieB</t>
  </si>
  <si>
    <t>CieC</t>
  </si>
  <si>
    <t>CieD</t>
  </si>
  <si>
    <t>CieE</t>
  </si>
  <si>
    <t>CieF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</si>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</sst>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3.28515625" customWidth="1"/>
    <col min="2" max="2" width="45.7109375" customWidth="1"/>
    <col min="3" max="4" width="10.7109375" customWidth="1"/>
    <col min="5" max="5" width="35.85546875" customWidth="1"/>
    <col min="6" max="6" width="38.5703125" customWidth="1"/>
    <col min="7" max="7" width="15.7109375" customWidth="1"/>
    <col min="8" max="8" width="18.7109375" customWidth="1"/>
    <col min="9" max="10" width="40.7109375" customWidth="1"/>
  </cols>
  <sheetData>
    <row r="1" spans="1:10" x14ac:dyDescent="0.25">
      <c r="A1" s="1" t="s">
        <v>1</v>
      </c>
      <c r="B1" s="1" t="s">
        <v>81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30</v>
      </c>
      <c r="H1" s="1" t="s">
        <v>43</v>
      </c>
      <c r="I1" s="1" t="s">
        <v>45</v>
      </c>
      <c r="J1" s="1" t="s">
        <v>44</v>
      </c>
    </row>
    <row r="2" spans="1:10" x14ac:dyDescent="0.25">
      <c r="A2" t="s">
        <v>6</v>
      </c>
      <c r="B2" t="s">
        <v>75</v>
      </c>
      <c r="C2" t="b">
        <f>FALSE()</f>
        <v>0</v>
      </c>
      <c r="D2" t="s">
        <v>5</v>
      </c>
      <c r="E2" t="s">
        <v>68</v>
      </c>
      <c r="F2" t="s">
        <v>31</v>
      </c>
      <c r="G2" t="s">
        <v>32</v>
      </c>
      <c r="H2" t="s">
        <v>67</v>
      </c>
      <c r="I2" t="s">
        <v>5</v>
      </c>
      <c r="J2" t="s">
        <v>74</v>
      </c>
    </row>
    <row r="3" spans="1:10" x14ac:dyDescent="0.25">
      <c r="A3" t="s">
        <v>6</v>
      </c>
      <c r="B3" t="s">
        <v>76</v>
      </c>
      <c r="C3" t="b">
        <f>FALSE()</f>
        <v>0</v>
      </c>
      <c r="E3" t="s">
        <v>68</v>
      </c>
      <c r="F3" t="s">
        <v>33</v>
      </c>
      <c r="G3" t="s">
        <v>38</v>
      </c>
      <c r="H3" t="s">
        <v>5</v>
      </c>
      <c r="I3" t="s">
        <v>5</v>
      </c>
      <c r="J3" t="s">
        <v>5</v>
      </c>
    </row>
    <row r="4" spans="1:10" x14ac:dyDescent="0.25">
      <c r="A4" t="s">
        <v>6</v>
      </c>
      <c r="B4" t="s">
        <v>77</v>
      </c>
      <c r="C4" t="b">
        <f>FALSE()</f>
        <v>0</v>
      </c>
      <c r="E4" t="s">
        <v>68</v>
      </c>
      <c r="F4" t="s">
        <v>34</v>
      </c>
      <c r="G4" t="s">
        <v>39</v>
      </c>
      <c r="H4" t="s">
        <v>5</v>
      </c>
      <c r="I4" t="s">
        <v>5</v>
      </c>
      <c r="J4" t="s">
        <v>5</v>
      </c>
    </row>
    <row r="5" spans="1:10" x14ac:dyDescent="0.25">
      <c r="A5" t="s">
        <v>6</v>
      </c>
      <c r="B5" t="s">
        <v>78</v>
      </c>
      <c r="C5" t="b">
        <f>FALSE()</f>
        <v>0</v>
      </c>
      <c r="E5" t="s">
        <v>68</v>
      </c>
      <c r="F5" t="s">
        <v>35</v>
      </c>
      <c r="G5" t="s">
        <v>40</v>
      </c>
      <c r="H5" t="s">
        <v>5</v>
      </c>
      <c r="I5" t="s">
        <v>5</v>
      </c>
      <c r="J5" t="s">
        <v>5</v>
      </c>
    </row>
    <row r="6" spans="1:10" x14ac:dyDescent="0.25">
      <c r="A6" t="s">
        <v>6</v>
      </c>
      <c r="B6" t="s">
        <v>79</v>
      </c>
      <c r="C6" t="b">
        <f>FALSE()</f>
        <v>0</v>
      </c>
      <c r="E6" t="s">
        <v>5</v>
      </c>
      <c r="F6" t="s">
        <v>36</v>
      </c>
      <c r="G6" t="s">
        <v>41</v>
      </c>
      <c r="H6" t="s">
        <v>5</v>
      </c>
      <c r="I6" t="s">
        <v>5</v>
      </c>
      <c r="J6" t="s">
        <v>5</v>
      </c>
    </row>
    <row r="7" spans="1:10" x14ac:dyDescent="0.25">
      <c r="A7" t="s">
        <v>6</v>
      </c>
      <c r="B7" t="s">
        <v>80</v>
      </c>
      <c r="C7" t="b">
        <f>FALSE()</f>
        <v>0</v>
      </c>
      <c r="E7" t="s">
        <v>5</v>
      </c>
      <c r="F7" t="s">
        <v>37</v>
      </c>
      <c r="G7" t="s">
        <v>42</v>
      </c>
      <c r="H7" t="s">
        <v>5</v>
      </c>
      <c r="I7" t="s">
        <v>5</v>
      </c>
      <c r="J7" t="s">
        <v>5</v>
      </c>
    </row>
    <row r="8" spans="1:10" x14ac:dyDescent="0.25">
      <c r="A8" t="s">
        <v>7</v>
      </c>
      <c r="B8" t="s">
        <v>8</v>
      </c>
      <c r="C8" t="b">
        <f>FALSE()</f>
        <v>0</v>
      </c>
      <c r="E8" t="s">
        <v>22</v>
      </c>
      <c r="F8" t="s">
        <v>48</v>
      </c>
      <c r="G8" t="s">
        <v>39</v>
      </c>
      <c r="H8" t="s">
        <v>5</v>
      </c>
      <c r="I8" t="s">
        <v>70</v>
      </c>
      <c r="J8" t="s">
        <v>5</v>
      </c>
    </row>
    <row r="9" spans="1:10" x14ac:dyDescent="0.25">
      <c r="A9" t="s">
        <v>7</v>
      </c>
      <c r="B9" t="s">
        <v>9</v>
      </c>
      <c r="C9" t="b">
        <f>FALSE()</f>
        <v>0</v>
      </c>
      <c r="E9" t="s">
        <v>23</v>
      </c>
      <c r="F9" t="s">
        <v>49</v>
      </c>
      <c r="G9" t="s">
        <v>46</v>
      </c>
      <c r="H9" t="s">
        <v>5</v>
      </c>
      <c r="I9" t="s">
        <v>70</v>
      </c>
      <c r="J9" t="s">
        <v>5</v>
      </c>
    </row>
    <row r="10" spans="1:10" x14ac:dyDescent="0.25">
      <c r="A10" t="s">
        <v>7</v>
      </c>
      <c r="B10" t="s">
        <v>10</v>
      </c>
      <c r="C10" t="b">
        <f>FALSE()</f>
        <v>0</v>
      </c>
      <c r="E10" t="s">
        <v>24</v>
      </c>
      <c r="F10" t="s">
        <v>50</v>
      </c>
      <c r="G10" t="s">
        <v>47</v>
      </c>
      <c r="H10" t="s">
        <v>5</v>
      </c>
      <c r="I10" t="s">
        <v>70</v>
      </c>
      <c r="J10" t="s">
        <v>5</v>
      </c>
    </row>
    <row r="11" spans="1:10" x14ac:dyDescent="0.25">
      <c r="A11" t="s">
        <v>7</v>
      </c>
      <c r="B11" t="s">
        <v>11</v>
      </c>
      <c r="C11" t="b">
        <f>FALSE()</f>
        <v>0</v>
      </c>
      <c r="E11" t="s">
        <v>25</v>
      </c>
      <c r="F11" t="s">
        <v>51</v>
      </c>
      <c r="G11" t="s">
        <v>39</v>
      </c>
      <c r="H11" t="s">
        <v>5</v>
      </c>
      <c r="I11" t="s">
        <v>72</v>
      </c>
      <c r="J11" t="s">
        <v>73</v>
      </c>
    </row>
    <row r="12" spans="1:10" x14ac:dyDescent="0.25">
      <c r="A12" t="s">
        <v>7</v>
      </c>
      <c r="B12" t="s">
        <v>12</v>
      </c>
      <c r="C12" t="b">
        <f>FALSE()</f>
        <v>0</v>
      </c>
      <c r="E12" t="s">
        <v>25</v>
      </c>
      <c r="F12" t="s">
        <v>52</v>
      </c>
      <c r="G12" t="s">
        <v>47</v>
      </c>
      <c r="H12" t="s">
        <v>5</v>
      </c>
      <c r="I12" t="s">
        <v>72</v>
      </c>
      <c r="J12" t="s">
        <v>73</v>
      </c>
    </row>
    <row r="13" spans="1:10" x14ac:dyDescent="0.25">
      <c r="A13" t="s">
        <v>7</v>
      </c>
      <c r="B13" t="s">
        <v>13</v>
      </c>
      <c r="C13" t="b">
        <f>FALSE()</f>
        <v>0</v>
      </c>
      <c r="E13" t="s">
        <v>26</v>
      </c>
      <c r="F13" t="s">
        <v>53</v>
      </c>
      <c r="H13" t="s">
        <v>5</v>
      </c>
      <c r="I13" t="s">
        <v>70</v>
      </c>
      <c r="J13" t="s">
        <v>5</v>
      </c>
    </row>
    <row r="14" spans="1:10" x14ac:dyDescent="0.25">
      <c r="A14" t="s">
        <v>7</v>
      </c>
      <c r="B14" t="s">
        <v>14</v>
      </c>
      <c r="C14" t="b">
        <f>FALSE()</f>
        <v>0</v>
      </c>
      <c r="E14" t="s">
        <v>26</v>
      </c>
      <c r="F14" t="s">
        <v>54</v>
      </c>
      <c r="H14" t="s">
        <v>5</v>
      </c>
      <c r="I14" t="s">
        <v>70</v>
      </c>
      <c r="J14" t="s">
        <v>5</v>
      </c>
    </row>
    <row r="15" spans="1:10" x14ac:dyDescent="0.25">
      <c r="A15" t="s">
        <v>7</v>
      </c>
      <c r="B15" t="s">
        <v>15</v>
      </c>
      <c r="C15" t="b">
        <f>FALSE()</f>
        <v>0</v>
      </c>
      <c r="E15" t="s">
        <v>27</v>
      </c>
      <c r="F15" t="s">
        <v>57</v>
      </c>
      <c r="H15" t="s">
        <v>5</v>
      </c>
      <c r="I15" t="s">
        <v>72</v>
      </c>
      <c r="J15" t="s">
        <v>5</v>
      </c>
    </row>
    <row r="16" spans="1:10" x14ac:dyDescent="0.25">
      <c r="A16" t="s">
        <v>7</v>
      </c>
      <c r="B16" t="s">
        <v>16</v>
      </c>
      <c r="C16" t="b">
        <f>FALSE()</f>
        <v>0</v>
      </c>
      <c r="E16" t="s">
        <v>25</v>
      </c>
      <c r="F16" t="s">
        <v>58</v>
      </c>
      <c r="G16" t="s">
        <v>59</v>
      </c>
      <c r="H16" t="s">
        <v>5</v>
      </c>
      <c r="I16" t="s">
        <v>71</v>
      </c>
      <c r="J16" t="s">
        <v>71</v>
      </c>
    </row>
    <row r="17" spans="1:10" x14ac:dyDescent="0.25">
      <c r="A17" t="s">
        <v>7</v>
      </c>
      <c r="B17" t="s">
        <v>17</v>
      </c>
      <c r="C17" t="b">
        <f>FALSE()</f>
        <v>0</v>
      </c>
      <c r="E17" t="s">
        <v>69</v>
      </c>
      <c r="F17" t="s">
        <v>61</v>
      </c>
      <c r="G17" t="s">
        <v>62</v>
      </c>
      <c r="H17" t="s">
        <v>5</v>
      </c>
      <c r="I17" t="s">
        <v>71</v>
      </c>
      <c r="J17" t="s">
        <v>71</v>
      </c>
    </row>
    <row r="18" spans="1:10" x14ac:dyDescent="0.25">
      <c r="A18" t="s">
        <v>7</v>
      </c>
      <c r="B18" t="s">
        <v>18</v>
      </c>
      <c r="C18" t="b">
        <f>FALSE()</f>
        <v>0</v>
      </c>
      <c r="E18" t="s">
        <v>27</v>
      </c>
      <c r="F18" t="s">
        <v>60</v>
      </c>
      <c r="H18" t="s">
        <v>5</v>
      </c>
      <c r="I18" t="s">
        <v>71</v>
      </c>
      <c r="J18" t="s">
        <v>5</v>
      </c>
    </row>
    <row r="19" spans="1:10" x14ac:dyDescent="0.25">
      <c r="A19" t="s">
        <v>7</v>
      </c>
      <c r="B19" t="s">
        <v>19</v>
      </c>
      <c r="C19" t="b">
        <f>FALSE()</f>
        <v>0</v>
      </c>
      <c r="E19" t="s">
        <v>28</v>
      </c>
      <c r="F19" t="s">
        <v>55</v>
      </c>
      <c r="G19" t="s">
        <v>63</v>
      </c>
      <c r="H19" t="s">
        <v>5</v>
      </c>
      <c r="I19" t="s">
        <v>70</v>
      </c>
      <c r="J19" t="s">
        <v>5</v>
      </c>
    </row>
    <row r="20" spans="1:10" x14ac:dyDescent="0.25">
      <c r="A20" t="s">
        <v>7</v>
      </c>
      <c r="B20" t="s">
        <v>20</v>
      </c>
      <c r="C20" t="b">
        <f>FALSE()</f>
        <v>0</v>
      </c>
      <c r="E20" t="s">
        <v>28</v>
      </c>
      <c r="F20" t="s">
        <v>56</v>
      </c>
      <c r="G20" t="s">
        <v>64</v>
      </c>
      <c r="H20" t="s">
        <v>5</v>
      </c>
      <c r="I20" t="s">
        <v>70</v>
      </c>
      <c r="J20" t="s">
        <v>5</v>
      </c>
    </row>
    <row r="21" spans="1:10" x14ac:dyDescent="0.25">
      <c r="A21" t="s">
        <v>7</v>
      </c>
      <c r="B21" t="s">
        <v>21</v>
      </c>
      <c r="C21" t="b">
        <f>FALSE()</f>
        <v>0</v>
      </c>
      <c r="E21" t="s">
        <v>29</v>
      </c>
      <c r="F21" t="s">
        <v>65</v>
      </c>
      <c r="G21" t="s">
        <v>66</v>
      </c>
      <c r="H21" t="s">
        <v>5</v>
      </c>
      <c r="I21" t="s">
        <v>72</v>
      </c>
      <c r="J21" t="s">
        <v>73</v>
      </c>
    </row>
  </sheetData>
  <autoFilter ref="A1:D2" xr:uid="{00000000-0001-0000-0000-000000000000}"/>
  <conditionalFormatting sqref="C2:C21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2026-06-24T12:53:23Z</dcterms:modified>
</cp:coreProperties>
</file>