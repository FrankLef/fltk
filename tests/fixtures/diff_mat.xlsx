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13F8512C-9B20-466A-A371-77B7538EFB6F}" xr6:coauthVersionLast="47" xr6:coauthVersionMax="47" xr10:uidLastSave="{00000000-0000-0000-0000-000000000000}"/>
  <bookViews>
    <workbookView xWindow="-120" yWindow="-120" windowWidth="38640" windowHeight="15720" activeTab="2" xr2:uid="{B15CCCEE-BBA2-4B37-9C1B-97DB990DA2A7}"/>
  </bookViews>
  <sheets>
    <sheet name="data" sheetId="6" r:id="rId1"/>
    <sheet name="qrtr" sheetId="7" r:id="rId2"/>
    <sheet name="rolly" sheetId="8" r:id="rId3"/>
    <sheet name="qrtr_old" sheetId="5" r:id="rId4"/>
    <sheet name="rolly_old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6" l="1"/>
  <c r="F30" i="6"/>
  <c r="F25" i="6"/>
  <c r="F21" i="6"/>
  <c r="F17" i="6"/>
  <c r="F13" i="6"/>
  <c r="F11" i="6"/>
  <c r="F7" i="6"/>
  <c r="F3" i="6"/>
  <c r="G32" i="6"/>
  <c r="G31" i="6"/>
  <c r="G30" i="6"/>
  <c r="G29" i="6"/>
  <c r="G28" i="6"/>
  <c r="G25" i="6"/>
  <c r="G23" i="6"/>
  <c r="G22" i="6"/>
  <c r="G13" i="6"/>
  <c r="F28" i="6"/>
  <c r="F22" i="6"/>
  <c r="F4" i="6"/>
  <c r="F2" i="6"/>
  <c r="E30" i="6"/>
  <c r="E25" i="6"/>
  <c r="E12" i="6"/>
  <c r="F12" i="6" s="1"/>
  <c r="E18" i="6"/>
  <c r="E19" i="6" s="1"/>
  <c r="E20" i="6" s="1"/>
  <c r="F20" i="6" s="1"/>
  <c r="E14" i="6"/>
  <c r="E15" i="6" s="1"/>
  <c r="E16" i="6" s="1"/>
  <c r="G16" i="6" s="1"/>
  <c r="E8" i="6"/>
  <c r="E9" i="6" s="1"/>
  <c r="E32" i="6" s="1"/>
  <c r="E2" i="6"/>
  <c r="E4" i="6"/>
  <c r="E5" i="6" s="1"/>
  <c r="E23" i="6" s="1"/>
  <c r="G5" i="6" l="1"/>
  <c r="E26" i="6"/>
  <c r="F26" i="6" s="1"/>
  <c r="E28" i="6"/>
  <c r="G2" i="6"/>
  <c r="G21" i="6"/>
  <c r="E10" i="6"/>
  <c r="G10" i="6" s="1"/>
  <c r="G20" i="6"/>
  <c r="F9" i="6"/>
  <c r="G19" i="6"/>
  <c r="E6" i="6"/>
  <c r="G3" i="6"/>
  <c r="F14" i="6"/>
  <c r="E27" i="6"/>
  <c r="F15" i="6"/>
  <c r="E22" i="6"/>
  <c r="E29" i="6"/>
  <c r="F29" i="6" s="1"/>
  <c r="F5" i="6"/>
  <c r="F18" i="6"/>
  <c r="G4" i="6"/>
  <c r="G15" i="6"/>
  <c r="F19" i="6"/>
  <c r="G12" i="6"/>
  <c r="G17" i="6"/>
  <c r="F16" i="6"/>
  <c r="G14" i="6"/>
  <c r="E31" i="6"/>
  <c r="F31" i="6" s="1"/>
  <c r="F8" i="6"/>
  <c r="G18" i="6"/>
  <c r="G7" i="6" l="1"/>
  <c r="G8" i="6"/>
  <c r="E24" i="6"/>
  <c r="F6" i="6"/>
  <c r="G9" i="6"/>
  <c r="G26" i="6"/>
  <c r="G11" i="6"/>
  <c r="G6" i="6"/>
  <c r="F10" i="6"/>
  <c r="E33" i="6"/>
  <c r="G33" i="6" s="1"/>
  <c r="F33" i="6"/>
  <c r="F23" i="6"/>
  <c r="F24" i="6"/>
  <c r="G24" i="6"/>
  <c r="F32" i="6"/>
  <c r="G27" i="6"/>
</calcChain>
</file>

<file path=xl/sharedStrings.xml><?xml version="1.0" encoding="utf-8"?>
<sst xmlns="http://schemas.openxmlformats.org/spreadsheetml/2006/main" count="219" uniqueCount="24">
  <si>
    <t>q2021-4</t>
  </si>
  <si>
    <t>q2022-1</t>
  </si>
  <si>
    <t>q2021-3</t>
  </si>
  <si>
    <t>q2021-2</t>
  </si>
  <si>
    <t>q2021-1</t>
  </si>
  <si>
    <t>q2020-4</t>
  </si>
  <si>
    <t>q2020-3</t>
  </si>
  <si>
    <t>q2020-2</t>
  </si>
  <si>
    <t>q2020-1</t>
  </si>
  <si>
    <t>q2019-4</t>
  </si>
  <si>
    <t>idx</t>
  </si>
  <si>
    <t>concept</t>
  </si>
  <si>
    <t>entity</t>
  </si>
  <si>
    <t>period</t>
  </si>
  <si>
    <t>amount</t>
  </si>
  <si>
    <t>cieA</t>
  </si>
  <si>
    <t>sales</t>
  </si>
  <si>
    <t>costs</t>
  </si>
  <si>
    <t>cieB</t>
  </si>
  <si>
    <t>cieC</t>
  </si>
  <si>
    <t>qrtr</t>
  </si>
  <si>
    <t>rolly</t>
  </si>
  <si>
    <t>pertype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</si>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</sst>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Font="1" applyAlignment="1">
      <alignment wrapText="1"/>
    </xf>
  </cellXfs>
  <cellStyles count="2">
    <cellStyle name="Normal" xfId="0" builtinId="0"/>
    <cellStyle name="Normal_Sheet1" xfId="1" xr:uid="{64DB0DF9-8705-4E6C-B0CA-E0D4AD0501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BE5C-57A2-4D8F-893E-70B1404CBB51}">
  <dimension ref="A1:G33"/>
  <sheetViews>
    <sheetView workbookViewId="0">
      <selection activeCell="F27" sqref="F27"/>
    </sheetView>
  </sheetViews>
  <sheetFormatPr defaultRowHeight="15" x14ac:dyDescent="0.25"/>
  <sheetData>
    <row r="1" spans="1:7" x14ac:dyDescent="0.25">
      <c r="A1" s="4" t="s">
        <v>12</v>
      </c>
      <c r="B1" s="4" t="s">
        <v>11</v>
      </c>
      <c r="C1" s="4" t="s">
        <v>13</v>
      </c>
      <c r="D1" s="4" t="s">
        <v>22</v>
      </c>
      <c r="E1" s="4" t="s">
        <v>14</v>
      </c>
      <c r="F1" s="4" t="s">
        <v>20</v>
      </c>
      <c r="G1" s="4" t="s">
        <v>21</v>
      </c>
    </row>
    <row r="2" spans="1:7" x14ac:dyDescent="0.25">
      <c r="A2" s="5" t="s">
        <v>15</v>
      </c>
      <c r="B2" t="s">
        <v>16</v>
      </c>
      <c r="C2" s="1" t="s">
        <v>9</v>
      </c>
      <c r="D2" s="8" t="s">
        <v>23</v>
      </c>
      <c r="E2" s="3">
        <f>4*40</f>
        <v>160</v>
      </c>
      <c r="F2">
        <f>0.25 * E2</f>
        <v>40</v>
      </c>
      <c r="G2">
        <f>E2</f>
        <v>160</v>
      </c>
    </row>
    <row r="3" spans="1:7" x14ac:dyDescent="0.25">
      <c r="A3" s="5" t="s">
        <v>15</v>
      </c>
      <c r="B3" t="s">
        <v>16</v>
      </c>
      <c r="C3" s="1" t="s">
        <v>8</v>
      </c>
      <c r="D3" s="8" t="s">
        <v>23</v>
      </c>
      <c r="E3" s="3">
        <v>100</v>
      </c>
      <c r="F3">
        <f>E3</f>
        <v>100</v>
      </c>
      <c r="G3">
        <f>0.75 * E2 + E3</f>
        <v>220</v>
      </c>
    </row>
    <row r="4" spans="1:7" x14ac:dyDescent="0.25">
      <c r="A4" s="5" t="s">
        <v>15</v>
      </c>
      <c r="B4" t="s">
        <v>16</v>
      </c>
      <c r="C4" s="1" t="s">
        <v>7</v>
      </c>
      <c r="D4" s="8" t="s">
        <v>23</v>
      </c>
      <c r="E4">
        <f t="shared" ref="E4:E6" si="0">ROUND(E3 * 1.25, 0)</f>
        <v>125</v>
      </c>
      <c r="F4">
        <f>E4 - E3</f>
        <v>25</v>
      </c>
      <c r="G4">
        <f>0.5 * E2 + E4</f>
        <v>205</v>
      </c>
    </row>
    <row r="5" spans="1:7" x14ac:dyDescent="0.25">
      <c r="A5" s="5" t="s">
        <v>15</v>
      </c>
      <c r="B5" t="s">
        <v>16</v>
      </c>
      <c r="C5" s="1" t="s">
        <v>6</v>
      </c>
      <c r="D5" s="8" t="s">
        <v>23</v>
      </c>
      <c r="E5">
        <f t="shared" si="0"/>
        <v>156</v>
      </c>
      <c r="F5">
        <f>E5 - E4</f>
        <v>31</v>
      </c>
      <c r="G5">
        <f>0.25 * E2 + E5</f>
        <v>196</v>
      </c>
    </row>
    <row r="6" spans="1:7" x14ac:dyDescent="0.25">
      <c r="A6" s="5" t="s">
        <v>15</v>
      </c>
      <c r="B6" t="s">
        <v>16</v>
      </c>
      <c r="C6" s="1" t="s">
        <v>5</v>
      </c>
      <c r="D6" s="8" t="s">
        <v>23</v>
      </c>
      <c r="E6">
        <f t="shared" si="0"/>
        <v>195</v>
      </c>
      <c r="F6">
        <f>E6 - E5</f>
        <v>39</v>
      </c>
      <c r="G6">
        <f>E6</f>
        <v>195</v>
      </c>
    </row>
    <row r="7" spans="1:7" x14ac:dyDescent="0.25">
      <c r="A7" s="5" t="s">
        <v>15</v>
      </c>
      <c r="B7" t="s">
        <v>16</v>
      </c>
      <c r="C7" s="1" t="s">
        <v>4</v>
      </c>
      <c r="D7" s="8" t="s">
        <v>23</v>
      </c>
      <c r="E7" s="3">
        <v>125</v>
      </c>
      <c r="F7">
        <f>E7</f>
        <v>125</v>
      </c>
      <c r="G7">
        <f>-E3 + E6 + E7</f>
        <v>220</v>
      </c>
    </row>
    <row r="8" spans="1:7" x14ac:dyDescent="0.25">
      <c r="A8" s="5" t="s">
        <v>15</v>
      </c>
      <c r="B8" t="s">
        <v>16</v>
      </c>
      <c r="C8" s="1" t="s">
        <v>3</v>
      </c>
      <c r="D8" s="8" t="s">
        <v>23</v>
      </c>
      <c r="E8">
        <f t="shared" ref="E8:E10" si="1">ROUND(E7 * 1.25, 0)</f>
        <v>156</v>
      </c>
      <c r="F8">
        <f>E8 - E7</f>
        <v>31</v>
      </c>
      <c r="G8">
        <f>-E4 + E6 + E8</f>
        <v>226</v>
      </c>
    </row>
    <row r="9" spans="1:7" x14ac:dyDescent="0.25">
      <c r="A9" s="5" t="s">
        <v>15</v>
      </c>
      <c r="B9" t="s">
        <v>16</v>
      </c>
      <c r="C9" s="1" t="s">
        <v>2</v>
      </c>
      <c r="D9" s="8" t="s">
        <v>23</v>
      </c>
      <c r="E9">
        <f t="shared" si="1"/>
        <v>195</v>
      </c>
      <c r="F9">
        <f>E9 - E8</f>
        <v>39</v>
      </c>
      <c r="G9">
        <f>-E5 + E6 + E9</f>
        <v>234</v>
      </c>
    </row>
    <row r="10" spans="1:7" x14ac:dyDescent="0.25">
      <c r="A10" s="5" t="s">
        <v>15</v>
      </c>
      <c r="B10" t="s">
        <v>16</v>
      </c>
      <c r="C10" s="1" t="s">
        <v>0</v>
      </c>
      <c r="D10" s="8" t="s">
        <v>23</v>
      </c>
      <c r="E10">
        <f t="shared" si="1"/>
        <v>244</v>
      </c>
      <c r="F10">
        <f>E10 - E9</f>
        <v>49</v>
      </c>
      <c r="G10">
        <f>E10</f>
        <v>244</v>
      </c>
    </row>
    <row r="11" spans="1:7" x14ac:dyDescent="0.25">
      <c r="A11" s="5" t="s">
        <v>15</v>
      </c>
      <c r="B11" t="s">
        <v>16</v>
      </c>
      <c r="C11" s="1" t="s">
        <v>1</v>
      </c>
      <c r="D11" s="8" t="s">
        <v>23</v>
      </c>
      <c r="E11" s="3">
        <v>150</v>
      </c>
      <c r="F11">
        <f>E11</f>
        <v>150</v>
      </c>
      <c r="G11">
        <f>-E7 + E10 + E11</f>
        <v>269</v>
      </c>
    </row>
    <row r="12" spans="1:7" x14ac:dyDescent="0.25">
      <c r="A12" s="5" t="s">
        <v>15</v>
      </c>
      <c r="B12" t="s">
        <v>17</v>
      </c>
      <c r="C12" s="1" t="s">
        <v>9</v>
      </c>
      <c r="D12" s="8" t="s">
        <v>23</v>
      </c>
      <c r="E12" s="3">
        <f>4*30</f>
        <v>120</v>
      </c>
      <c r="F12">
        <f>0.25 * E12</f>
        <v>30</v>
      </c>
      <c r="G12">
        <f>E12</f>
        <v>120</v>
      </c>
    </row>
    <row r="13" spans="1:7" x14ac:dyDescent="0.25">
      <c r="A13" s="5" t="s">
        <v>15</v>
      </c>
      <c r="B13" t="s">
        <v>17</v>
      </c>
      <c r="C13" s="1" t="s">
        <v>8</v>
      </c>
      <c r="D13" s="8" t="s">
        <v>23</v>
      </c>
      <c r="E13" s="3">
        <v>70</v>
      </c>
      <c r="F13">
        <f>E13</f>
        <v>70</v>
      </c>
      <c r="G13">
        <f>0.75 * E12 + E13</f>
        <v>160</v>
      </c>
    </row>
    <row r="14" spans="1:7" x14ac:dyDescent="0.25">
      <c r="A14" s="5" t="s">
        <v>15</v>
      </c>
      <c r="B14" t="s">
        <v>17</v>
      </c>
      <c r="C14" s="1" t="s">
        <v>7</v>
      </c>
      <c r="D14" s="8" t="s">
        <v>23</v>
      </c>
      <c r="E14">
        <f t="shared" ref="E14:E16" si="2">ROUND(E13 * 1.25, 0)</f>
        <v>88</v>
      </c>
      <c r="F14">
        <f>E14 - E13</f>
        <v>18</v>
      </c>
      <c r="G14">
        <f>0.5 * E12 + E14</f>
        <v>148</v>
      </c>
    </row>
    <row r="15" spans="1:7" x14ac:dyDescent="0.25">
      <c r="A15" s="5" t="s">
        <v>15</v>
      </c>
      <c r="B15" t="s">
        <v>17</v>
      </c>
      <c r="C15" s="1" t="s">
        <v>6</v>
      </c>
      <c r="D15" s="8" t="s">
        <v>23</v>
      </c>
      <c r="E15">
        <f t="shared" si="2"/>
        <v>110</v>
      </c>
      <c r="F15">
        <f>E15 - E14</f>
        <v>22</v>
      </c>
      <c r="G15">
        <f>0.25 * E12 + E15</f>
        <v>140</v>
      </c>
    </row>
    <row r="16" spans="1:7" x14ac:dyDescent="0.25">
      <c r="A16" s="5" t="s">
        <v>15</v>
      </c>
      <c r="B16" t="s">
        <v>17</v>
      </c>
      <c r="C16" s="1" t="s">
        <v>5</v>
      </c>
      <c r="D16" s="8" t="s">
        <v>23</v>
      </c>
      <c r="E16">
        <f t="shared" si="2"/>
        <v>138</v>
      </c>
      <c r="F16">
        <f>E16 - E15</f>
        <v>28</v>
      </c>
      <c r="G16">
        <f>E16</f>
        <v>138</v>
      </c>
    </row>
    <row r="17" spans="1:7" x14ac:dyDescent="0.25">
      <c r="A17" s="5" t="s">
        <v>15</v>
      </c>
      <c r="B17" t="s">
        <v>17</v>
      </c>
      <c r="C17" s="1" t="s">
        <v>4</v>
      </c>
      <c r="D17" s="8" t="s">
        <v>23</v>
      </c>
      <c r="E17" s="3">
        <v>100</v>
      </c>
      <c r="F17">
        <f>E17</f>
        <v>100</v>
      </c>
      <c r="G17">
        <f>-E13 + E16 + E17</f>
        <v>168</v>
      </c>
    </row>
    <row r="18" spans="1:7" x14ac:dyDescent="0.25">
      <c r="A18" s="5" t="s">
        <v>15</v>
      </c>
      <c r="B18" t="s">
        <v>17</v>
      </c>
      <c r="C18" s="1" t="s">
        <v>3</v>
      </c>
      <c r="D18" s="8" t="s">
        <v>23</v>
      </c>
      <c r="E18">
        <f t="shared" ref="E18:E20" si="3">ROUND(E17 * 1.25, 0)</f>
        <v>125</v>
      </c>
      <c r="F18">
        <f>E18 - E17</f>
        <v>25</v>
      </c>
      <c r="G18">
        <f>-E14 + E16 + E18</f>
        <v>175</v>
      </c>
    </row>
    <row r="19" spans="1:7" x14ac:dyDescent="0.25">
      <c r="A19" s="5" t="s">
        <v>15</v>
      </c>
      <c r="B19" t="s">
        <v>17</v>
      </c>
      <c r="C19" s="1" t="s">
        <v>2</v>
      </c>
      <c r="D19" s="8" t="s">
        <v>23</v>
      </c>
      <c r="E19">
        <f t="shared" si="3"/>
        <v>156</v>
      </c>
      <c r="F19">
        <f>E19 - E18</f>
        <v>31</v>
      </c>
      <c r="G19">
        <f>-E15 + E16 + E19</f>
        <v>184</v>
      </c>
    </row>
    <row r="20" spans="1:7" x14ac:dyDescent="0.25">
      <c r="A20" s="5" t="s">
        <v>15</v>
      </c>
      <c r="B20" t="s">
        <v>17</v>
      </c>
      <c r="C20" s="1" t="s">
        <v>0</v>
      </c>
      <c r="D20" s="8" t="s">
        <v>23</v>
      </c>
      <c r="E20">
        <f t="shared" si="3"/>
        <v>195</v>
      </c>
      <c r="F20">
        <f>E20 - E19</f>
        <v>39</v>
      </c>
      <c r="G20">
        <f>E20</f>
        <v>195</v>
      </c>
    </row>
    <row r="21" spans="1:7" x14ac:dyDescent="0.25">
      <c r="A21" s="5" t="s">
        <v>15</v>
      </c>
      <c r="B21" t="s">
        <v>17</v>
      </c>
      <c r="C21" s="1" t="s">
        <v>1</v>
      </c>
      <c r="D21" s="8" t="s">
        <v>23</v>
      </c>
      <c r="E21" s="3">
        <v>125</v>
      </c>
      <c r="F21">
        <f>E21</f>
        <v>125</v>
      </c>
      <c r="G21">
        <f>-E17 + E20 + E21</f>
        <v>220</v>
      </c>
    </row>
    <row r="22" spans="1:7" x14ac:dyDescent="0.25">
      <c r="A22" s="6" t="s">
        <v>18</v>
      </c>
      <c r="B22" t="s">
        <v>16</v>
      </c>
      <c r="C22" s="1" t="s">
        <v>7</v>
      </c>
      <c r="D22" s="8" t="s">
        <v>23</v>
      </c>
      <c r="E22">
        <f>E4</f>
        <v>125</v>
      </c>
      <c r="F22" t="e">
        <f>NA()</f>
        <v>#N/A</v>
      </c>
      <c r="G22" t="e">
        <f>NA()</f>
        <v>#N/A</v>
      </c>
    </row>
    <row r="23" spans="1:7" x14ac:dyDescent="0.25">
      <c r="A23" s="6" t="s">
        <v>18</v>
      </c>
      <c r="B23" t="s">
        <v>16</v>
      </c>
      <c r="C23" s="1" t="s">
        <v>6</v>
      </c>
      <c r="D23" s="8" t="s">
        <v>23</v>
      </c>
      <c r="E23">
        <f t="shared" ref="E23:E24" si="4">E5</f>
        <v>156</v>
      </c>
      <c r="F23">
        <f>E23 - E22</f>
        <v>31</v>
      </c>
      <c r="G23" t="e">
        <f>NA()</f>
        <v>#N/A</v>
      </c>
    </row>
    <row r="24" spans="1:7" x14ac:dyDescent="0.25">
      <c r="A24" s="6" t="s">
        <v>18</v>
      </c>
      <c r="B24" t="s">
        <v>16</v>
      </c>
      <c r="C24" s="1" t="s">
        <v>5</v>
      </c>
      <c r="D24" s="8" t="s">
        <v>23</v>
      </c>
      <c r="E24">
        <f t="shared" si="4"/>
        <v>195</v>
      </c>
      <c r="F24">
        <f>E24 - E23</f>
        <v>39</v>
      </c>
      <c r="G24">
        <f>E24</f>
        <v>195</v>
      </c>
    </row>
    <row r="25" spans="1:7" x14ac:dyDescent="0.25">
      <c r="A25" s="6" t="s">
        <v>18</v>
      </c>
      <c r="B25" t="s">
        <v>16</v>
      </c>
      <c r="C25" s="1" t="s">
        <v>4</v>
      </c>
      <c r="D25" s="8" t="s">
        <v>23</v>
      </c>
      <c r="E25">
        <f>E7</f>
        <v>125</v>
      </c>
      <c r="F25">
        <f>E25</f>
        <v>125</v>
      </c>
      <c r="G25" t="e">
        <f>NA()</f>
        <v>#N/A</v>
      </c>
    </row>
    <row r="26" spans="1:7" x14ac:dyDescent="0.25">
      <c r="A26" s="6" t="s">
        <v>18</v>
      </c>
      <c r="B26" t="s">
        <v>16</v>
      </c>
      <c r="C26" s="1" t="s">
        <v>3</v>
      </c>
      <c r="D26" s="8" t="s">
        <v>23</v>
      </c>
      <c r="E26">
        <f t="shared" ref="E26" si="5">E8</f>
        <v>156</v>
      </c>
      <c r="F26">
        <f>E26 - E25</f>
        <v>31</v>
      </c>
      <c r="G26">
        <f>-E22 + E24 + E26</f>
        <v>226</v>
      </c>
    </row>
    <row r="27" spans="1:7" x14ac:dyDescent="0.25">
      <c r="A27" s="6" t="s">
        <v>18</v>
      </c>
      <c r="B27" t="s">
        <v>16</v>
      </c>
      <c r="C27" s="1" t="s">
        <v>0</v>
      </c>
      <c r="D27" s="8" t="s">
        <v>23</v>
      </c>
      <c r="E27">
        <f>E10</f>
        <v>244</v>
      </c>
      <c r="F27" t="e">
        <f>NA()</f>
        <v>#N/A</v>
      </c>
      <c r="G27">
        <f>E27</f>
        <v>244</v>
      </c>
    </row>
    <row r="28" spans="1:7" x14ac:dyDescent="0.25">
      <c r="A28" s="7" t="s">
        <v>19</v>
      </c>
      <c r="B28" t="s">
        <v>16</v>
      </c>
      <c r="C28" s="1" t="s">
        <v>7</v>
      </c>
      <c r="D28" s="8" t="s">
        <v>23</v>
      </c>
      <c r="E28">
        <f>E4</f>
        <v>125</v>
      </c>
      <c r="F28" t="e">
        <f>NA()</f>
        <v>#N/A</v>
      </c>
      <c r="G28" t="e">
        <f>NA()</f>
        <v>#N/A</v>
      </c>
    </row>
    <row r="29" spans="1:7" x14ac:dyDescent="0.25">
      <c r="A29" s="7" t="s">
        <v>19</v>
      </c>
      <c r="B29" t="s">
        <v>16</v>
      </c>
      <c r="C29" s="1" t="s">
        <v>6</v>
      </c>
      <c r="D29" s="8" t="s">
        <v>23</v>
      </c>
      <c r="E29">
        <f>E5</f>
        <v>156</v>
      </c>
      <c r="F29">
        <f>E29 - E28</f>
        <v>31</v>
      </c>
      <c r="G29" t="e">
        <f>NA()</f>
        <v>#N/A</v>
      </c>
    </row>
    <row r="30" spans="1:7" x14ac:dyDescent="0.25">
      <c r="A30" s="7" t="s">
        <v>19</v>
      </c>
      <c r="B30" t="s">
        <v>16</v>
      </c>
      <c r="C30" s="1" t="s">
        <v>4</v>
      </c>
      <c r="D30" s="8" t="s">
        <v>23</v>
      </c>
      <c r="E30">
        <f>E7</f>
        <v>125</v>
      </c>
      <c r="F30">
        <f>E30</f>
        <v>125</v>
      </c>
      <c r="G30" t="e">
        <f>NA()</f>
        <v>#N/A</v>
      </c>
    </row>
    <row r="31" spans="1:7" x14ac:dyDescent="0.25">
      <c r="A31" s="7" t="s">
        <v>19</v>
      </c>
      <c r="B31" t="s">
        <v>16</v>
      </c>
      <c r="C31" s="1" t="s">
        <v>3</v>
      </c>
      <c r="D31" s="8" t="s">
        <v>23</v>
      </c>
      <c r="E31">
        <f t="shared" ref="E31:E33" si="6">E8</f>
        <v>156</v>
      </c>
      <c r="F31">
        <f>E31 - E30</f>
        <v>31</v>
      </c>
      <c r="G31" t="e">
        <f>NA()</f>
        <v>#N/A</v>
      </c>
    </row>
    <row r="32" spans="1:7" x14ac:dyDescent="0.25">
      <c r="A32" s="7" t="s">
        <v>19</v>
      </c>
      <c r="B32" t="s">
        <v>16</v>
      </c>
      <c r="C32" s="1" t="s">
        <v>2</v>
      </c>
      <c r="D32" s="8" t="s">
        <v>23</v>
      </c>
      <c r="E32">
        <f t="shared" si="6"/>
        <v>195</v>
      </c>
      <c r="F32">
        <f>E32 - E31</f>
        <v>39</v>
      </c>
      <c r="G32" t="e">
        <f>NA()</f>
        <v>#N/A</v>
      </c>
    </row>
    <row r="33" spans="1:7" x14ac:dyDescent="0.25">
      <c r="A33" s="7" t="s">
        <v>19</v>
      </c>
      <c r="B33" t="s">
        <v>16</v>
      </c>
      <c r="C33" s="1" t="s">
        <v>0</v>
      </c>
      <c r="D33" s="8" t="s">
        <v>23</v>
      </c>
      <c r="E33">
        <f t="shared" si="6"/>
        <v>244</v>
      </c>
      <c r="F33">
        <f>E33 - E32</f>
        <v>49</v>
      </c>
      <c r="G33">
        <f>E33</f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ECF2-8AD4-43EB-BC1E-C097A105A3F8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4</v>
      </c>
      <c r="H1" t="s">
        <v>3</v>
      </c>
      <c r="I1" t="s">
        <v>2</v>
      </c>
      <c r="J1" t="s">
        <v>0</v>
      </c>
      <c r="K1" t="s">
        <v>1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8</v>
      </c>
      <c r="C3">
        <v>1</v>
      </c>
    </row>
    <row r="4" spans="1:11" x14ac:dyDescent="0.25">
      <c r="A4" s="1" t="s">
        <v>7</v>
      </c>
      <c r="C4">
        <v>-1</v>
      </c>
      <c r="D4">
        <v>1</v>
      </c>
    </row>
    <row r="5" spans="1:11" x14ac:dyDescent="0.25">
      <c r="A5" s="1" t="s">
        <v>6</v>
      </c>
      <c r="D5">
        <v>-1</v>
      </c>
      <c r="E5">
        <v>1</v>
      </c>
    </row>
    <row r="6" spans="1:11" x14ac:dyDescent="0.25">
      <c r="A6" s="1" t="s">
        <v>5</v>
      </c>
      <c r="E6">
        <v>-1</v>
      </c>
      <c r="F6">
        <v>1</v>
      </c>
    </row>
    <row r="7" spans="1:11" x14ac:dyDescent="0.25">
      <c r="A7" s="1" t="s">
        <v>4</v>
      </c>
      <c r="G7">
        <v>1</v>
      </c>
    </row>
    <row r="8" spans="1:11" x14ac:dyDescent="0.25">
      <c r="A8" s="1" t="s">
        <v>3</v>
      </c>
      <c r="G8">
        <v>-1</v>
      </c>
      <c r="H8">
        <v>1</v>
      </c>
    </row>
    <row r="9" spans="1:11" x14ac:dyDescent="0.25">
      <c r="A9" s="1" t="s">
        <v>2</v>
      </c>
      <c r="H9">
        <v>-1</v>
      </c>
      <c r="I9">
        <v>1</v>
      </c>
    </row>
    <row r="10" spans="1:11" x14ac:dyDescent="0.25">
      <c r="A10" s="1" t="s">
        <v>0</v>
      </c>
      <c r="I10">
        <v>-1</v>
      </c>
      <c r="J10">
        <v>1</v>
      </c>
    </row>
    <row r="11" spans="1:11" x14ac:dyDescent="0.25">
      <c r="A11" s="1" t="s">
        <v>1</v>
      </c>
      <c r="K11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6FF9-67CC-43DC-934E-7FD580C2D196}">
  <dimension ref="A1:K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4</v>
      </c>
      <c r="H1" t="s">
        <v>3</v>
      </c>
      <c r="I1" t="s">
        <v>2</v>
      </c>
      <c r="J1" t="s">
        <v>0</v>
      </c>
      <c r="K1" t="s">
        <v>1</v>
      </c>
    </row>
    <row r="2" spans="1:11" x14ac:dyDescent="0.25">
      <c r="A2" s="1" t="s">
        <v>9</v>
      </c>
      <c r="B2">
        <v>1</v>
      </c>
    </row>
    <row r="3" spans="1:11" x14ac:dyDescent="0.25">
      <c r="A3" s="1" t="s">
        <v>8</v>
      </c>
      <c r="B3">
        <v>0.75</v>
      </c>
      <c r="C3">
        <v>1</v>
      </c>
    </row>
    <row r="4" spans="1:11" x14ac:dyDescent="0.25">
      <c r="A4" s="1" t="s">
        <v>7</v>
      </c>
      <c r="B4">
        <v>0.5</v>
      </c>
      <c r="D4">
        <v>1</v>
      </c>
    </row>
    <row r="5" spans="1:11" x14ac:dyDescent="0.25">
      <c r="A5" s="1" t="s">
        <v>6</v>
      </c>
      <c r="B5">
        <v>0.25</v>
      </c>
      <c r="E5">
        <v>1</v>
      </c>
    </row>
    <row r="6" spans="1:11" x14ac:dyDescent="0.25">
      <c r="A6" s="1" t="s">
        <v>5</v>
      </c>
      <c r="F6">
        <v>1</v>
      </c>
    </row>
    <row r="7" spans="1:11" x14ac:dyDescent="0.25">
      <c r="A7" s="1" t="s">
        <v>4</v>
      </c>
      <c r="C7">
        <v>-1</v>
      </c>
      <c r="F7">
        <v>1</v>
      </c>
      <c r="G7">
        <v>1</v>
      </c>
    </row>
    <row r="8" spans="1:11" x14ac:dyDescent="0.25">
      <c r="A8" s="1" t="s">
        <v>3</v>
      </c>
      <c r="D8">
        <v>-1</v>
      </c>
      <c r="F8">
        <v>1</v>
      </c>
      <c r="H8">
        <v>1</v>
      </c>
    </row>
    <row r="9" spans="1:11" x14ac:dyDescent="0.25">
      <c r="A9" s="1" t="s">
        <v>2</v>
      </c>
      <c r="E9">
        <v>-1</v>
      </c>
      <c r="F9">
        <v>1</v>
      </c>
      <c r="I9">
        <v>1</v>
      </c>
    </row>
    <row r="10" spans="1:11" x14ac:dyDescent="0.25">
      <c r="A10" s="1" t="s">
        <v>0</v>
      </c>
      <c r="J10">
        <v>1</v>
      </c>
    </row>
    <row r="11" spans="1:11" x14ac:dyDescent="0.25">
      <c r="A11" s="1" t="s">
        <v>1</v>
      </c>
      <c r="G11">
        <v>-1</v>
      </c>
      <c r="J11">
        <v>1</v>
      </c>
      <c r="K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6A73-6473-4FBE-8D23-8CD43F79225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4</v>
      </c>
      <c r="H1" t="s">
        <v>3</v>
      </c>
      <c r="I1" t="s">
        <v>2</v>
      </c>
      <c r="J1" t="s">
        <v>0</v>
      </c>
      <c r="K1" t="s">
        <v>1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8</v>
      </c>
      <c r="C3">
        <v>1</v>
      </c>
      <c r="D3">
        <v>-1</v>
      </c>
    </row>
    <row r="4" spans="1:11" x14ac:dyDescent="0.25">
      <c r="A4" s="1" t="s">
        <v>7</v>
      </c>
      <c r="D4">
        <v>1</v>
      </c>
      <c r="E4">
        <v>-1</v>
      </c>
    </row>
    <row r="5" spans="1:11" x14ac:dyDescent="0.25">
      <c r="A5" s="1" t="s">
        <v>6</v>
      </c>
      <c r="E5">
        <v>1</v>
      </c>
      <c r="F5">
        <v>-1</v>
      </c>
    </row>
    <row r="6" spans="1:11" x14ac:dyDescent="0.25">
      <c r="A6" s="1" t="s">
        <v>5</v>
      </c>
      <c r="F6">
        <v>1</v>
      </c>
    </row>
    <row r="7" spans="1:11" x14ac:dyDescent="0.25">
      <c r="A7" s="1" t="s">
        <v>4</v>
      </c>
      <c r="G7">
        <v>1</v>
      </c>
      <c r="H7">
        <v>-1</v>
      </c>
    </row>
    <row r="8" spans="1:11" x14ac:dyDescent="0.25">
      <c r="A8" s="1" t="s">
        <v>3</v>
      </c>
      <c r="H8">
        <v>1</v>
      </c>
      <c r="I8">
        <v>-1</v>
      </c>
    </row>
    <row r="9" spans="1:11" x14ac:dyDescent="0.25">
      <c r="A9" s="1" t="s">
        <v>2</v>
      </c>
      <c r="I9">
        <v>1</v>
      </c>
      <c r="J9">
        <v>-1</v>
      </c>
    </row>
    <row r="10" spans="1:11" x14ac:dyDescent="0.25">
      <c r="A10" s="1" t="s">
        <v>0</v>
      </c>
      <c r="J10">
        <v>1</v>
      </c>
    </row>
    <row r="11" spans="1:11" x14ac:dyDescent="0.25">
      <c r="A11" s="1" t="s">
        <v>1</v>
      </c>
      <c r="K11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8F8D-3875-4CDC-94FA-9366DF76C516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4</v>
      </c>
      <c r="H1" t="s">
        <v>3</v>
      </c>
      <c r="I1" t="s">
        <v>2</v>
      </c>
      <c r="J1" t="s">
        <v>0</v>
      </c>
      <c r="K1" t="s">
        <v>1</v>
      </c>
    </row>
    <row r="2" spans="1:11" x14ac:dyDescent="0.25">
      <c r="A2" s="1" t="s">
        <v>9</v>
      </c>
      <c r="B2">
        <v>1</v>
      </c>
      <c r="C2">
        <v>0.75</v>
      </c>
      <c r="D2">
        <v>0.5</v>
      </c>
      <c r="E2">
        <v>0.25</v>
      </c>
    </row>
    <row r="3" spans="1:11" x14ac:dyDescent="0.25">
      <c r="A3" s="1" t="s">
        <v>8</v>
      </c>
      <c r="C3">
        <v>1</v>
      </c>
      <c r="G3">
        <v>-1</v>
      </c>
    </row>
    <row r="4" spans="1:11" x14ac:dyDescent="0.25">
      <c r="A4" s="1" t="s">
        <v>7</v>
      </c>
      <c r="D4">
        <v>1</v>
      </c>
      <c r="H4">
        <v>-1</v>
      </c>
    </row>
    <row r="5" spans="1:11" x14ac:dyDescent="0.25">
      <c r="A5" s="1" t="s">
        <v>6</v>
      </c>
      <c r="E5">
        <v>1</v>
      </c>
      <c r="I5">
        <v>-1</v>
      </c>
    </row>
    <row r="6" spans="1:11" x14ac:dyDescent="0.25">
      <c r="A6" s="1" t="s">
        <v>5</v>
      </c>
      <c r="F6">
        <v>1</v>
      </c>
      <c r="G6">
        <v>1</v>
      </c>
      <c r="H6">
        <v>1</v>
      </c>
      <c r="I6">
        <v>1</v>
      </c>
    </row>
    <row r="7" spans="1:11" x14ac:dyDescent="0.25">
      <c r="A7" s="1" t="s">
        <v>4</v>
      </c>
      <c r="G7">
        <v>1</v>
      </c>
      <c r="K7">
        <v>-1</v>
      </c>
    </row>
    <row r="8" spans="1:11" x14ac:dyDescent="0.25">
      <c r="A8" s="1" t="s">
        <v>3</v>
      </c>
      <c r="H8">
        <v>1</v>
      </c>
    </row>
    <row r="9" spans="1:11" x14ac:dyDescent="0.25">
      <c r="A9" s="1" t="s">
        <v>2</v>
      </c>
      <c r="I9">
        <v>1</v>
      </c>
    </row>
    <row r="10" spans="1:11" x14ac:dyDescent="0.25">
      <c r="A10" s="1" t="s">
        <v>0</v>
      </c>
      <c r="J10">
        <v>1</v>
      </c>
      <c r="K10">
        <v>1</v>
      </c>
    </row>
    <row r="11" spans="1:11" x14ac:dyDescent="0.25">
      <c r="A11" s="1" t="s">
        <v>1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qrtr</vt:lpstr>
      <vt:lpstr>rolly</vt:lpstr>
      <vt:lpstr>qrtr_old</vt:lpstr>
      <vt:lpstr>rolly_old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2024-11-25T23:41:00Z</dcterms:created>
  <dcterms:modified xsi:type="dcterms:W3CDTF">2026-02-08T16:06:14Z</dcterms:modified>
</cp:coreProperties>
</file>