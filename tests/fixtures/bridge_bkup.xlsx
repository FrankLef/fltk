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8158670D-ADD5-4EA4-8607-C6A2C631FF89}" xr6:coauthVersionLast="47" xr6:coauthVersionMax="47" xr10:uidLastSave="{00000000-0000-0000-0000-000000000000}"/>
  <bookViews>
    <workbookView xWindow="8985" yWindow="4185" windowWidth="28800" windowHeight="11295" xr2:uid="{55D8B766-AA58-4EC0-B6FD-8EEF6CA6A6EF}"/>
  </bookViews>
  <sheets>
    <sheet name="data1" sheetId="7" r:id="rId1"/>
    <sheet name="concepts_ratios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7" l="1"/>
  <c r="G24" i="7"/>
  <c r="G23" i="7"/>
  <c r="G22" i="7"/>
  <c r="G15" i="7"/>
  <c r="G11" i="7"/>
  <c r="G9" i="7"/>
  <c r="G4" i="7"/>
  <c r="G21" i="7" l="1"/>
  <c r="G20" i="7"/>
  <c r="G19" i="7"/>
  <c r="G18" i="7"/>
  <c r="G16" i="7"/>
  <c r="G14" i="7"/>
  <c r="G13" i="7"/>
  <c r="G12" i="7"/>
  <c r="G10" i="7"/>
  <c r="G8" i="7"/>
  <c r="G7" i="7"/>
  <c r="G6" i="7"/>
  <c r="G5" i="7"/>
  <c r="G3" i="7"/>
  <c r="G2" i="7"/>
  <c r="G1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9D9D0-B133-4FE4-A617-D66BF3D722D9}" keepAlive="1" name="Query - qryx_cal_qrtrs" description="Connection to the 'qryx_cal_qrtrs' query in the workbook." type="5" refreshedVersion="8" background="1" saveData="1">
    <dbPr connection="Provider=Microsoft.Mashup.OleDb.1;Data Source=$Workbook$;Location=qryx_cal_qrtrs;Extended Properties=&quot;&quot;" command="SELECT * FROM [qryx_cal_qrtrs]"/>
  </connection>
  <connection id="2" xr16:uid="{EFB1E1AE-B728-42BA-8EB0-631F0C567DBD}" keepAlive="1" name="Query - qryx_concepts" description="Connection to the 'qryx_concepts' query in the workbook." type="5" refreshedVersion="8" background="1" saveData="1">
    <dbPr connection="Provider=Microsoft.Mashup.OleDb.1;Data Source=$Workbook$;Location=qryx_concepts;Extended Properties=&quot;&quot;" command="SELECT * FROM [qryx_concepts]"/>
  </connection>
  <connection id="3" xr16:uid="{DA093DDE-27CA-4C4D-A304-B4E765FC10D5}" keepAlive="1" name="Query - qryx_concepts_adds" description="Connection to the 'qryx_concepts_adds' query in the workbook." type="5" refreshedVersion="8" background="1" saveData="1">
    <dbPr connection="Provider=Microsoft.Mashup.OleDb.1;Data Source=$Workbook$;Location=qryx_concepts_adds;Extended Properties=&quot;&quot;" command="SELECT * FROM [qryx_concepts_adds]"/>
  </connection>
  <connection id="4" xr16:uid="{5FBF212A-AAC5-4543-BC5F-866DD902D8B4}" keepAlive="1" name="Query - qryx_concepts_adds (2)" description="Connection to the 'qryx_concepts_adds (2)' query in the workbook." type="5" refreshedVersion="8" background="1" saveData="1">
    <dbPr connection="Provider=Microsoft.Mashup.OleDb.1;Data Source=$Workbook$;Location=&quot;qryx_concepts_adds (2)&quot;;Extended Properties=&quot;&quot;" command="SELECT * FROM [qryx_concepts_adds (2)]"/>
  </connection>
  <connection id="5" xr16:uid="{12870B70-691D-4F23-A6F6-3F474954B79F}" keepAlive="1" name="Query - qryx_entities" description="Connection to the 'qryx_entities' query in the workbook." type="5" refreshedVersion="8" background="1" saveData="1">
    <dbPr connection="Provider=Microsoft.Mashup.OleDb.1;Data Source=$Workbook$;Location=qryx_entities;Extended Properties=&quot;&quot;" command="SELECT * FROM [qryx_entities]"/>
  </connection>
  <connection id="6" xr16:uid="{F957FC5F-E3C8-4CD5-BC5C-8ED919029EF8}" keepAlive="1" name="Query - qryx_fstypes" description="Connection to the 'qryx_fstypes' query in the workbook." type="5" refreshedVersion="8" background="1" saveData="1">
    <dbPr connection="Provider=Microsoft.Mashup.OleDb.1;Data Source=$Workbook$;Location=qryx_fstypes;Extended Properties=&quot;&quot;" command="SELECT * FROM [qryx_fstypes]"/>
  </connection>
  <connection id="7" xr16:uid="{3FA4B6CA-F788-4F57-ABE2-D457AF417E61}" keepAlive="1" name="Query - qryx_pertypes" description="Connection to the 'qryx_pertypes' query in the workbook." type="5" refreshedVersion="8" background="1" saveData="1">
    <dbPr connection="Provider=Microsoft.Mashup.OleDb.1;Data Source=$Workbook$;Location=qryx_pertypes;Extended Properties=&quot;&quot;" command="SELECT * FROM [qryx_pertypes]"/>
  </connection>
</connections>
</file>

<file path=xl/sharedStrings.xml><?xml version="1.0" encoding="utf-8"?>
<sst xmlns="http://schemas.openxmlformats.org/spreadsheetml/2006/main" count="174" uniqueCount="27">
  <si>
    <t>DirectLabor</t>
  </si>
  <si>
    <t>EBITDA</t>
  </si>
  <si>
    <t>Ebitda2Sales</t>
  </si>
  <si>
    <t>Ebitda2TangibleAssetsNoncash</t>
  </si>
  <si>
    <t>MaterialCosts</t>
  </si>
  <si>
    <t>Sales2TangibleAssetsNoncash</t>
  </si>
  <si>
    <t>SalesNet</t>
  </si>
  <si>
    <t>TangibleAssetsNoncash</t>
  </si>
  <si>
    <t>Sales2MaterialCosts</t>
  </si>
  <si>
    <t>concept_num</t>
  </si>
  <si>
    <t>concept_den</t>
  </si>
  <si>
    <t>concept_ratio</t>
  </si>
  <si>
    <t>MaterialCosts2DirectLabor</t>
  </si>
  <si>
    <t>Sales2DirectLabor</t>
  </si>
  <si>
    <t>entity</t>
  </si>
  <si>
    <t>period</t>
  </si>
  <si>
    <t>pertype</t>
  </si>
  <si>
    <t>cieA</t>
  </si>
  <si>
    <t>cum</t>
  </si>
  <si>
    <t>q2020-1</t>
  </si>
  <si>
    <t>q2020-2</t>
  </si>
  <si>
    <t>cieB</t>
  </si>
  <si>
    <t>cieC</t>
  </si>
  <si>
    <t>qrtr</t>
  </si>
  <si>
    <t>ratio</t>
  </si>
  <si>
    <t>num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</si>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</sst>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0" xfId="0" applyFont="1" applyFill="1"/>
    <xf numFmtId="0" fontId="0" fillId="3" borderId="0" xfId="0" applyFill="1"/>
    <xf numFmtId="0" fontId="4" fillId="0" borderId="1" xfId="1" applyFont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1" xfId="1" applyFont="1" applyFill="1" applyBorder="1" applyAlignment="1">
      <alignment wrapText="1"/>
    </xf>
    <xf numFmtId="0" fontId="4" fillId="2" borderId="1" xfId="1" applyFont="1" applyFill="1" applyBorder="1" applyAlignment="1">
      <alignment wrapText="1"/>
    </xf>
  </cellXfs>
  <cellStyles count="2">
    <cellStyle name="Normal" xfId="0" builtinId="0"/>
    <cellStyle name="Normal_Sheet1" xfId="1" xr:uid="{16970789-4072-4D25-86BB-9F579B77D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EF6B-52C6-492C-B13D-8396A5497842}">
  <dimension ref="A1:I25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4" max="6" width="30.7109375" customWidth="1"/>
    <col min="7" max="9" width="10.7109375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11</v>
      </c>
      <c r="E1" s="1" t="s">
        <v>9</v>
      </c>
      <c r="F1" s="1" t="s">
        <v>10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17</v>
      </c>
      <c r="B2" s="3" t="s">
        <v>19</v>
      </c>
      <c r="C2" t="s">
        <v>18</v>
      </c>
      <c r="D2" s="6" t="s">
        <v>3</v>
      </c>
      <c r="E2" s="6" t="s">
        <v>1</v>
      </c>
      <c r="F2" s="6" t="s">
        <v>7</v>
      </c>
      <c r="G2">
        <f>H2 / I2</f>
        <v>0.13043478260869565</v>
      </c>
      <c r="H2">
        <v>150</v>
      </c>
      <c r="I2">
        <v>1150</v>
      </c>
    </row>
    <row r="3" spans="1:9" x14ac:dyDescent="0.25">
      <c r="A3" s="2" t="s">
        <v>17</v>
      </c>
      <c r="B3" s="3" t="s">
        <v>19</v>
      </c>
      <c r="C3" t="s">
        <v>18</v>
      </c>
      <c r="D3" s="6" t="s">
        <v>2</v>
      </c>
      <c r="E3" s="6" t="s">
        <v>1</v>
      </c>
      <c r="F3" s="6" t="s">
        <v>6</v>
      </c>
      <c r="G3">
        <f>H3 / I3</f>
        <v>0.15</v>
      </c>
      <c r="H3">
        <v>150</v>
      </c>
      <c r="I3">
        <v>1000</v>
      </c>
    </row>
    <row r="4" spans="1:9" x14ac:dyDescent="0.25">
      <c r="A4" s="2" t="s">
        <v>17</v>
      </c>
      <c r="B4" s="3" t="s">
        <v>19</v>
      </c>
      <c r="C4" t="s">
        <v>18</v>
      </c>
      <c r="D4" s="6" t="s">
        <v>5</v>
      </c>
      <c r="E4" s="6" t="s">
        <v>6</v>
      </c>
      <c r="F4" s="6" t="s">
        <v>7</v>
      </c>
      <c r="G4">
        <f>H4 / I4</f>
        <v>0.86956521739130432</v>
      </c>
      <c r="H4">
        <v>1000</v>
      </c>
      <c r="I4">
        <v>1150</v>
      </c>
    </row>
    <row r="5" spans="1:9" x14ac:dyDescent="0.25">
      <c r="A5" s="2" t="s">
        <v>17</v>
      </c>
      <c r="B5" s="3" t="s">
        <v>19</v>
      </c>
      <c r="C5" t="s">
        <v>18</v>
      </c>
      <c r="D5" t="s">
        <v>13</v>
      </c>
      <c r="E5" t="s">
        <v>6</v>
      </c>
      <c r="F5" t="s">
        <v>0</v>
      </c>
      <c r="G5">
        <f>H5 / I5</f>
        <v>5.7142857142857144</v>
      </c>
      <c r="H5">
        <v>1000</v>
      </c>
      <c r="I5">
        <v>175</v>
      </c>
    </row>
    <row r="6" spans="1:9" x14ac:dyDescent="0.25">
      <c r="A6" s="2" t="s">
        <v>17</v>
      </c>
      <c r="B6" s="3" t="s">
        <v>19</v>
      </c>
      <c r="C6" t="s">
        <v>18</v>
      </c>
      <c r="D6" t="s">
        <v>8</v>
      </c>
      <c r="E6" t="s">
        <v>6</v>
      </c>
      <c r="F6" t="s">
        <v>4</v>
      </c>
      <c r="G6">
        <f t="shared" ref="G6:G13" si="0">H6 / I6</f>
        <v>3.3333333333333335</v>
      </c>
      <c r="H6">
        <v>1000</v>
      </c>
      <c r="I6">
        <v>300</v>
      </c>
    </row>
    <row r="7" spans="1:9" x14ac:dyDescent="0.25">
      <c r="A7" s="2" t="s">
        <v>17</v>
      </c>
      <c r="B7" s="3" t="s">
        <v>19</v>
      </c>
      <c r="C7" t="s">
        <v>18</v>
      </c>
      <c r="D7" t="s">
        <v>12</v>
      </c>
      <c r="E7" t="s">
        <v>4</v>
      </c>
      <c r="F7" t="s">
        <v>0</v>
      </c>
      <c r="G7">
        <f t="shared" si="0"/>
        <v>1.7142857142857142</v>
      </c>
      <c r="H7">
        <v>300</v>
      </c>
      <c r="I7">
        <v>175</v>
      </c>
    </row>
    <row r="8" spans="1:9" x14ac:dyDescent="0.25">
      <c r="A8" s="2" t="s">
        <v>17</v>
      </c>
      <c r="B8" s="7" t="s">
        <v>20</v>
      </c>
      <c r="C8" t="s">
        <v>18</v>
      </c>
      <c r="D8" s="6" t="s">
        <v>3</v>
      </c>
      <c r="E8" s="6" t="s">
        <v>1</v>
      </c>
      <c r="F8" s="6" t="s">
        <v>7</v>
      </c>
      <c r="G8">
        <f t="shared" si="0"/>
        <v>0.12</v>
      </c>
      <c r="H8">
        <v>120</v>
      </c>
      <c r="I8">
        <v>1000</v>
      </c>
    </row>
    <row r="9" spans="1:9" x14ac:dyDescent="0.25">
      <c r="A9" s="2" t="s">
        <v>17</v>
      </c>
      <c r="B9" s="7" t="s">
        <v>20</v>
      </c>
      <c r="C9" t="s">
        <v>18</v>
      </c>
      <c r="D9" s="6" t="s">
        <v>2</v>
      </c>
      <c r="E9" s="6" t="s">
        <v>1</v>
      </c>
      <c r="F9" s="6" t="s">
        <v>6</v>
      </c>
      <c r="G9">
        <f t="shared" si="0"/>
        <v>0.10909090909090909</v>
      </c>
      <c r="H9">
        <v>120</v>
      </c>
      <c r="I9">
        <v>1100</v>
      </c>
    </row>
    <row r="10" spans="1:9" x14ac:dyDescent="0.25">
      <c r="A10" s="2" t="s">
        <v>17</v>
      </c>
      <c r="B10" s="7" t="s">
        <v>20</v>
      </c>
      <c r="C10" t="s">
        <v>18</v>
      </c>
      <c r="D10" s="6" t="s">
        <v>5</v>
      </c>
      <c r="E10" s="6" t="s">
        <v>6</v>
      </c>
      <c r="F10" s="6" t="s">
        <v>7</v>
      </c>
      <c r="G10">
        <f t="shared" si="0"/>
        <v>1.1000000000000001</v>
      </c>
      <c r="H10">
        <v>1100</v>
      </c>
      <c r="I10">
        <v>1000</v>
      </c>
    </row>
    <row r="11" spans="1:9" x14ac:dyDescent="0.25">
      <c r="A11" s="2" t="s">
        <v>17</v>
      </c>
      <c r="B11" s="8" t="s">
        <v>20</v>
      </c>
      <c r="C11" t="s">
        <v>23</v>
      </c>
      <c r="D11" t="s">
        <v>13</v>
      </c>
      <c r="E11" t="s">
        <v>6</v>
      </c>
      <c r="F11" t="s">
        <v>0</v>
      </c>
      <c r="G11">
        <f t="shared" si="0"/>
        <v>6.875</v>
      </c>
      <c r="H11">
        <v>275</v>
      </c>
      <c r="I11">
        <v>40</v>
      </c>
    </row>
    <row r="12" spans="1:9" x14ac:dyDescent="0.25">
      <c r="A12" s="2" t="s">
        <v>17</v>
      </c>
      <c r="B12" s="8" t="s">
        <v>20</v>
      </c>
      <c r="C12" t="s">
        <v>23</v>
      </c>
      <c r="D12" t="s">
        <v>8</v>
      </c>
      <c r="E12" t="s">
        <v>6</v>
      </c>
      <c r="F12" t="s">
        <v>4</v>
      </c>
      <c r="G12">
        <f t="shared" si="0"/>
        <v>5.5</v>
      </c>
      <c r="H12">
        <v>275</v>
      </c>
      <c r="I12">
        <v>50</v>
      </c>
    </row>
    <row r="13" spans="1:9" x14ac:dyDescent="0.25">
      <c r="A13" s="2" t="s">
        <v>17</v>
      </c>
      <c r="B13" s="8" t="s">
        <v>20</v>
      </c>
      <c r="C13" t="s">
        <v>23</v>
      </c>
      <c r="D13" t="s">
        <v>12</v>
      </c>
      <c r="E13" t="s">
        <v>4</v>
      </c>
      <c r="F13" t="s">
        <v>0</v>
      </c>
      <c r="G13">
        <f t="shared" si="0"/>
        <v>1.25</v>
      </c>
      <c r="H13">
        <v>50</v>
      </c>
      <c r="I13">
        <v>40</v>
      </c>
    </row>
    <row r="14" spans="1:9" x14ac:dyDescent="0.25">
      <c r="A14" s="4" t="s">
        <v>21</v>
      </c>
      <c r="B14" s="3" t="s">
        <v>19</v>
      </c>
      <c r="C14" t="s">
        <v>18</v>
      </c>
      <c r="D14" s="6" t="s">
        <v>3</v>
      </c>
      <c r="E14" s="6" t="s">
        <v>1</v>
      </c>
      <c r="F14" s="6" t="s">
        <v>7</v>
      </c>
      <c r="G14">
        <f>H14 / I14</f>
        <v>0.13043478260869565</v>
      </c>
      <c r="H14">
        <v>150</v>
      </c>
      <c r="I14">
        <v>1150</v>
      </c>
    </row>
    <row r="15" spans="1:9" x14ac:dyDescent="0.25">
      <c r="A15" s="4" t="s">
        <v>21</v>
      </c>
      <c r="B15" s="3" t="s">
        <v>19</v>
      </c>
      <c r="C15" t="s">
        <v>18</v>
      </c>
      <c r="D15" s="6" t="s">
        <v>2</v>
      </c>
      <c r="E15" s="6" t="s">
        <v>1</v>
      </c>
      <c r="F15" s="6" t="s">
        <v>6</v>
      </c>
      <c r="G15" t="e">
        <f>H15 / I15</f>
        <v>#DIV/0!</v>
      </c>
      <c r="H15">
        <v>150</v>
      </c>
      <c r="I15">
        <v>0</v>
      </c>
    </row>
    <row r="16" spans="1:9" x14ac:dyDescent="0.25">
      <c r="A16" s="4" t="s">
        <v>21</v>
      </c>
      <c r="B16" s="3" t="s">
        <v>19</v>
      </c>
      <c r="C16" t="s">
        <v>18</v>
      </c>
      <c r="D16" s="6" t="s">
        <v>5</v>
      </c>
      <c r="E16" s="6" t="s">
        <v>6</v>
      </c>
      <c r="F16" s="6" t="s">
        <v>7</v>
      </c>
      <c r="G16">
        <f>H16 / I16</f>
        <v>0</v>
      </c>
      <c r="H16">
        <v>0</v>
      </c>
      <c r="I16">
        <v>1150</v>
      </c>
    </row>
    <row r="17" spans="1:9" x14ac:dyDescent="0.25">
      <c r="A17" s="4" t="s">
        <v>21</v>
      </c>
      <c r="B17" s="3" t="s">
        <v>19</v>
      </c>
      <c r="C17" t="s">
        <v>18</v>
      </c>
      <c r="D17" t="s">
        <v>13</v>
      </c>
      <c r="E17" t="s">
        <v>6</v>
      </c>
      <c r="F17" t="s">
        <v>0</v>
      </c>
      <c r="G17" t="e">
        <f>H17 / I17</f>
        <v>#N/A</v>
      </c>
      <c r="H17">
        <v>0</v>
      </c>
      <c r="I17" t="e">
        <v>#N/A</v>
      </c>
    </row>
    <row r="18" spans="1:9" x14ac:dyDescent="0.25">
      <c r="A18" s="4" t="s">
        <v>21</v>
      </c>
      <c r="B18" s="3" t="s">
        <v>19</v>
      </c>
      <c r="C18" t="s">
        <v>18</v>
      </c>
      <c r="D18" t="s">
        <v>8</v>
      </c>
      <c r="E18" t="s">
        <v>6</v>
      </c>
      <c r="F18" t="s">
        <v>4</v>
      </c>
      <c r="G18" t="e">
        <f t="shared" ref="G18:G25" si="1">H18 / I18</f>
        <v>#DIV/0!</v>
      </c>
      <c r="H18">
        <v>0</v>
      </c>
      <c r="I18">
        <v>0</v>
      </c>
    </row>
    <row r="19" spans="1:9" x14ac:dyDescent="0.25">
      <c r="A19" s="4" t="s">
        <v>21</v>
      </c>
      <c r="B19" s="3" t="s">
        <v>19</v>
      </c>
      <c r="C19" t="s">
        <v>18</v>
      </c>
      <c r="D19" t="s">
        <v>12</v>
      </c>
      <c r="E19" t="s">
        <v>4</v>
      </c>
      <c r="F19" t="s">
        <v>0</v>
      </c>
      <c r="G19" t="e">
        <f t="shared" si="1"/>
        <v>#N/A</v>
      </c>
      <c r="H19">
        <v>0</v>
      </c>
      <c r="I19" t="e">
        <v>#N/A</v>
      </c>
    </row>
    <row r="20" spans="1:9" x14ac:dyDescent="0.25">
      <c r="A20" s="5" t="s">
        <v>22</v>
      </c>
      <c r="B20" s="3" t="s">
        <v>20</v>
      </c>
      <c r="C20" t="s">
        <v>18</v>
      </c>
      <c r="D20" s="6" t="s">
        <v>3</v>
      </c>
      <c r="E20" s="6" t="s">
        <v>1</v>
      </c>
      <c r="F20" s="6" t="s">
        <v>7</v>
      </c>
      <c r="G20">
        <f t="shared" si="1"/>
        <v>9.9999999999999991E-11</v>
      </c>
      <c r="H20">
        <v>9.9999999999999995E-8</v>
      </c>
      <c r="I20">
        <v>1000</v>
      </c>
    </row>
    <row r="21" spans="1:9" x14ac:dyDescent="0.25">
      <c r="A21" s="5" t="s">
        <v>22</v>
      </c>
      <c r="B21" s="3" t="s">
        <v>20</v>
      </c>
      <c r="C21" t="s">
        <v>18</v>
      </c>
      <c r="D21" s="6" t="s">
        <v>2</v>
      </c>
      <c r="E21" s="6" t="s">
        <v>1</v>
      </c>
      <c r="F21" s="6" t="s">
        <v>6</v>
      </c>
      <c r="G21">
        <f t="shared" si="1"/>
        <v>1</v>
      </c>
      <c r="H21">
        <v>9.9999999999999995E-8</v>
      </c>
      <c r="I21">
        <v>9.9999999999999995E-8</v>
      </c>
    </row>
    <row r="22" spans="1:9" x14ac:dyDescent="0.25">
      <c r="A22" s="5" t="s">
        <v>22</v>
      </c>
      <c r="B22" s="3" t="s">
        <v>20</v>
      </c>
      <c r="C22" t="s">
        <v>18</v>
      </c>
      <c r="D22" s="6" t="s">
        <v>5</v>
      </c>
      <c r="E22" s="6" t="s">
        <v>6</v>
      </c>
      <c r="F22" s="6" t="s">
        <v>7</v>
      </c>
      <c r="G22">
        <f t="shared" si="1"/>
        <v>9.9999999999999991E-11</v>
      </c>
      <c r="H22">
        <v>9.9999999999999995E-8</v>
      </c>
      <c r="I22">
        <v>1000</v>
      </c>
    </row>
    <row r="23" spans="1:9" x14ac:dyDescent="0.25">
      <c r="A23" s="5" t="s">
        <v>22</v>
      </c>
      <c r="B23" s="3" t="s">
        <v>20</v>
      </c>
      <c r="C23" t="s">
        <v>23</v>
      </c>
      <c r="D23" t="s">
        <v>13</v>
      </c>
      <c r="E23" t="s">
        <v>6</v>
      </c>
      <c r="F23" t="s">
        <v>0</v>
      </c>
      <c r="G23">
        <f t="shared" si="1"/>
        <v>0</v>
      </c>
      <c r="I23">
        <v>160</v>
      </c>
    </row>
    <row r="24" spans="1:9" x14ac:dyDescent="0.25">
      <c r="A24" s="5" t="s">
        <v>22</v>
      </c>
      <c r="B24" s="3" t="s">
        <v>20</v>
      </c>
      <c r="C24" t="s">
        <v>23</v>
      </c>
      <c r="D24" t="s">
        <v>8</v>
      </c>
      <c r="E24" t="s">
        <v>6</v>
      </c>
      <c r="F24" t="s">
        <v>4</v>
      </c>
      <c r="G24" t="e">
        <f t="shared" si="1"/>
        <v>#DIV/0!</v>
      </c>
      <c r="I24">
        <v>0</v>
      </c>
    </row>
    <row r="25" spans="1:9" x14ac:dyDescent="0.25">
      <c r="A25" s="5" t="s">
        <v>22</v>
      </c>
      <c r="B25" s="3" t="s">
        <v>20</v>
      </c>
      <c r="C25" t="s">
        <v>23</v>
      </c>
      <c r="D25" t="s">
        <v>12</v>
      </c>
      <c r="E25" t="s">
        <v>4</v>
      </c>
      <c r="F25" t="s">
        <v>0</v>
      </c>
      <c r="G25">
        <f t="shared" si="1"/>
        <v>0</v>
      </c>
      <c r="H25">
        <v>0</v>
      </c>
      <c r="I25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8A7C-62F8-4E78-8F3B-CF3E2943FA5B}">
  <dimension ref="A1:C7"/>
  <sheetViews>
    <sheetView workbookViewId="0">
      <selection activeCell="A3" sqref="A3"/>
    </sheetView>
  </sheetViews>
  <sheetFormatPr defaultRowHeight="15" x14ac:dyDescent="0.25"/>
  <cols>
    <col min="1" max="1" width="41.5703125" bestFit="1" customWidth="1"/>
    <col min="2" max="2" width="23.28515625" bestFit="1" customWidth="1"/>
    <col min="3" max="4" width="26.28515625" bestFit="1" customWidth="1"/>
    <col min="5" max="5" width="41.5703125" bestFit="1" customWidth="1"/>
    <col min="6" max="6" width="23.28515625" bestFit="1" customWidth="1"/>
    <col min="7" max="7" width="26.28515625" bestFit="1" customWidth="1"/>
  </cols>
  <sheetData>
    <row r="1" spans="1:3" x14ac:dyDescent="0.25">
      <c r="A1" s="1" t="s">
        <v>11</v>
      </c>
      <c r="B1" s="1" t="s">
        <v>9</v>
      </c>
      <c r="C1" s="1" t="s">
        <v>10</v>
      </c>
    </row>
    <row r="2" spans="1:3" x14ac:dyDescent="0.25">
      <c r="A2" s="6" t="s">
        <v>5</v>
      </c>
      <c r="B2" s="6" t="s">
        <v>6</v>
      </c>
      <c r="C2" s="6" t="s">
        <v>7</v>
      </c>
    </row>
    <row r="3" spans="1:3" x14ac:dyDescent="0.25">
      <c r="A3" s="6" t="s">
        <v>2</v>
      </c>
      <c r="B3" s="6" t="s">
        <v>1</v>
      </c>
      <c r="C3" s="6" t="s">
        <v>6</v>
      </c>
    </row>
    <row r="4" spans="1:3" x14ac:dyDescent="0.25">
      <c r="A4" s="6" t="s">
        <v>3</v>
      </c>
      <c r="B4" s="6" t="s">
        <v>1</v>
      </c>
      <c r="C4" s="6" t="s">
        <v>7</v>
      </c>
    </row>
    <row r="5" spans="1:3" x14ac:dyDescent="0.25">
      <c r="A5" t="s">
        <v>12</v>
      </c>
      <c r="B5" t="s">
        <v>4</v>
      </c>
      <c r="C5" t="s">
        <v>0</v>
      </c>
    </row>
    <row r="6" spans="1:3" x14ac:dyDescent="0.25">
      <c r="A6" t="s">
        <v>13</v>
      </c>
      <c r="B6" t="s">
        <v>6</v>
      </c>
      <c r="C6" t="s">
        <v>0</v>
      </c>
    </row>
    <row r="7" spans="1:3" x14ac:dyDescent="0.25">
      <c r="A7" t="s">
        <v>8</v>
      </c>
      <c r="B7" t="s">
        <v>6</v>
      </c>
      <c r="C7" t="s">
        <v>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98576-175A-4784-9339-570E26BB4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concepts_ratios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2025-02-21T14:31:05Z</dcterms:created>
  <dcterms:modified xsi:type="dcterms:W3CDTF">2026-05-04T21:51:14Z</dcterms:modified>
</cp:coreProperties>
</file>