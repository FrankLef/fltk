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4" autoFilterDateGrouping="1"/>
  </bookViews>
  <sheets>
    <sheet name="data1" sheetId="1" state="visible" r:id="rId1"/>
    <sheet name="qrtr" sheetId="2" state="visible" r:id="rId2"/>
    <sheet name="rolly" sheetId="3" state="visible" r:id="rId3"/>
    <sheet name="qrtr_old" sheetId="4" state="visible" r:id="rId4"/>
    <sheet name="rolly_old" sheetId="5" state="visible" r:id="rId5"/>
    <sheet name="final_data" sheetId="6" state="visible" r:id="rId6"/>
    <sheet name="invalid_data" sheetId="7" state="visible" r:id="rId7"/>
    <sheet name="undetermined_data" sheetId="8" state="visible" r:id="rId8"/>
    <sheet name="valid_data" sheetId="9" state="visible" r:id="rId9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color indexed="8"/>
      <sz val="10"/>
    </font>
    <font>
      <name val="Calibri"/>
      <color indexed="8"/>
      <sz val="11"/>
    </font>
    <font>
      <name val="Calibri"/>
      <family val="2"/>
      <b val="1"/>
      <color theme="1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0" tint="-0.149906918546098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633777886288"/>
        <bgColor indexed="64"/>
      </patternFill>
    </fill>
    <fill>
      <patternFill patternType="solid">
        <fgColor theme="8" tint="0.3999450666829432"/>
        <bgColor indexed="64"/>
      </patternFill>
    </fill>
    <fill>
      <patternFill patternType="solid">
        <fgColor theme="7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pivotButton="0" quotePrefix="0" xfId="0"/>
    <xf numFmtId="0" fontId="2" fillId="0" borderId="1" applyAlignment="1" pivotButton="0" quotePrefix="0" xfId="1">
      <alignment wrapText="1"/>
    </xf>
    <xf numFmtId="0" fontId="3" fillId="2" borderId="0" applyAlignment="1" pivotButton="0" quotePrefix="0" xfId="0">
      <alignment horizontal="center"/>
    </xf>
    <xf numFmtId="0" fontId="0" fillId="3" borderId="0" pivotButton="0" quotePrefix="0" xfId="0"/>
    <xf numFmtId="0" fontId="3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applyAlignment="1" pivotButton="0" quotePrefix="0" xfId="1">
      <alignment wrapText="1"/>
    </xf>
    <xf numFmtId="0" fontId="0" fillId="7" borderId="0" pivotButton="0" quotePrefix="0" xfId="0"/>
    <xf numFmtId="0" fontId="2" fillId="7" borderId="1" applyAlignment="1" pivotButton="0" quotePrefix="0" xfId="1">
      <alignment wrapText="1"/>
    </xf>
    <xf numFmtId="0" fontId="2" fillId="7" borderId="0" applyAlignment="1" pivotButton="0" quotePrefix="0" xfId="1">
      <alignment wrapText="1"/>
    </xf>
  </cellXfs>
  <cellStyles count="2">
    <cellStyle name="Normal" xfId="0" builtinId="0"/>
    <cellStyle name="Normal_Sheet1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B15" sqref="B15"/>
    </sheetView>
  </sheetViews>
  <sheetFormatPr baseColWidth="8" defaultRowHeight="15"/>
  <cols>
    <col width="10.7109375" customWidth="1" min="6" max="7"/>
  </cols>
  <sheetData>
    <row r="1">
      <c r="A1" s="4" t="inlineStr">
        <is>
          <t>entity</t>
        </is>
      </c>
      <c r="B1" s="4" t="inlineStr">
        <is>
          <t>concept</t>
        </is>
      </c>
      <c r="C1" s="4" t="inlineStr">
        <is>
          <t>period</t>
        </is>
      </c>
      <c r="D1" s="4" t="inlineStr">
        <is>
          <t>pertype</t>
        </is>
      </c>
      <c r="E1" s="4" t="inlineStr">
        <is>
          <t>amount</t>
        </is>
      </c>
      <c r="F1" s="4" t="inlineStr">
        <is>
          <t>qrtr_target</t>
        </is>
      </c>
      <c r="G1" s="4" t="inlineStr">
        <is>
          <t>rolly_target</t>
        </is>
      </c>
    </row>
    <row r="2">
      <c r="A2" s="5" t="inlineStr">
        <is>
          <t>cieA</t>
        </is>
      </c>
      <c r="B2" t="inlineStr">
        <is>
          <t>sales</t>
        </is>
      </c>
      <c r="C2" s="1" t="inlineStr">
        <is>
          <t>q2019-4</t>
        </is>
      </c>
      <c r="D2" s="8" t="inlineStr">
        <is>
          <t>cum</t>
        </is>
      </c>
      <c r="E2" s="3">
        <f>4*40</f>
        <v/>
      </c>
      <c r="F2">
        <f>0.25 * E2</f>
        <v/>
      </c>
      <c r="G2">
        <f>E2</f>
        <v/>
      </c>
    </row>
    <row r="3">
      <c r="A3" s="5" t="inlineStr">
        <is>
          <t>cieA</t>
        </is>
      </c>
      <c r="B3" t="inlineStr">
        <is>
          <t>sales</t>
        </is>
      </c>
      <c r="C3" s="1" t="inlineStr">
        <is>
          <t>q2020-1</t>
        </is>
      </c>
      <c r="D3" s="8" t="inlineStr">
        <is>
          <t>cum</t>
        </is>
      </c>
      <c r="E3" s="3" t="n">
        <v>100</v>
      </c>
      <c r="F3">
        <f>E3</f>
        <v/>
      </c>
      <c r="G3">
        <f>0.75 * E2 + E3</f>
        <v/>
      </c>
    </row>
    <row r="4">
      <c r="A4" s="5" t="inlineStr">
        <is>
          <t>cieA</t>
        </is>
      </c>
      <c r="B4" t="inlineStr">
        <is>
          <t>sales</t>
        </is>
      </c>
      <c r="C4" s="1" t="inlineStr">
        <is>
          <t>q2020-2</t>
        </is>
      </c>
      <c r="D4" s="8" t="inlineStr">
        <is>
          <t>cum</t>
        </is>
      </c>
      <c r="E4">
        <f>ROUND(E3 * 1.25, 0)</f>
        <v/>
      </c>
      <c r="F4">
        <f>E4 - E3</f>
        <v/>
      </c>
      <c r="G4">
        <f>0.5 * E2 + E4</f>
        <v/>
      </c>
    </row>
    <row r="5">
      <c r="A5" s="5" t="inlineStr">
        <is>
          <t>cieA</t>
        </is>
      </c>
      <c r="B5" t="inlineStr">
        <is>
          <t>sales</t>
        </is>
      </c>
      <c r="C5" s="1" t="inlineStr">
        <is>
          <t>q2020-3</t>
        </is>
      </c>
      <c r="D5" s="8" t="inlineStr">
        <is>
          <t>cum</t>
        </is>
      </c>
      <c r="E5">
        <f>ROUND(E4 * 1.25, 0)</f>
        <v/>
      </c>
      <c r="F5">
        <f>E5 - E4</f>
        <v/>
      </c>
      <c r="G5">
        <f>0.25 * E2 + E5</f>
        <v/>
      </c>
    </row>
    <row r="6">
      <c r="A6" s="5" t="inlineStr">
        <is>
          <t>cieA</t>
        </is>
      </c>
      <c r="B6" t="inlineStr">
        <is>
          <t>sales</t>
        </is>
      </c>
      <c r="C6" s="1" t="inlineStr">
        <is>
          <t>q2020-4</t>
        </is>
      </c>
      <c r="D6" s="8" t="inlineStr">
        <is>
          <t>cum</t>
        </is>
      </c>
      <c r="E6">
        <f>ROUND(E5 * 1.25, 0)</f>
        <v/>
      </c>
      <c r="F6">
        <f>E6 - E5</f>
        <v/>
      </c>
      <c r="G6">
        <f>E6</f>
        <v/>
      </c>
    </row>
    <row r="7">
      <c r="A7" s="5" t="inlineStr">
        <is>
          <t>cieA</t>
        </is>
      </c>
      <c r="B7" t="inlineStr">
        <is>
          <t>sales</t>
        </is>
      </c>
      <c r="C7" s="1" t="inlineStr">
        <is>
          <t>q2021-1</t>
        </is>
      </c>
      <c r="D7" s="8" t="inlineStr">
        <is>
          <t>cum</t>
        </is>
      </c>
      <c r="E7" s="3" t="n">
        <v>125</v>
      </c>
      <c r="F7">
        <f>E7</f>
        <v/>
      </c>
      <c r="G7">
        <f>-E3 + E6 + E7</f>
        <v/>
      </c>
    </row>
    <row r="8">
      <c r="A8" s="5" t="inlineStr">
        <is>
          <t>cieA</t>
        </is>
      </c>
      <c r="B8" t="inlineStr">
        <is>
          <t>sales</t>
        </is>
      </c>
      <c r="C8" s="1" t="inlineStr">
        <is>
          <t>q2021-2</t>
        </is>
      </c>
      <c r="D8" s="8" t="inlineStr">
        <is>
          <t>cum</t>
        </is>
      </c>
      <c r="E8">
        <f>ROUND(E7 * 1.25, 0)</f>
        <v/>
      </c>
      <c r="F8">
        <f>E8 - E7</f>
        <v/>
      </c>
      <c r="G8">
        <f>-E4 + E6 + E8</f>
        <v/>
      </c>
    </row>
    <row r="9">
      <c r="A9" s="5" t="inlineStr">
        <is>
          <t>cieA</t>
        </is>
      </c>
      <c r="B9" t="inlineStr">
        <is>
          <t>sales</t>
        </is>
      </c>
      <c r="C9" s="1" t="inlineStr">
        <is>
          <t>q2021-3</t>
        </is>
      </c>
      <c r="D9" s="8" t="inlineStr">
        <is>
          <t>cum</t>
        </is>
      </c>
      <c r="E9">
        <f>ROUND(E8 * 1.25, 0)</f>
        <v/>
      </c>
      <c r="F9">
        <f>E9 - E8</f>
        <v/>
      </c>
      <c r="G9">
        <f>-E5 + E6 + E9</f>
        <v/>
      </c>
    </row>
    <row r="10">
      <c r="A10" s="5" t="inlineStr">
        <is>
          <t>cieA</t>
        </is>
      </c>
      <c r="B10" t="inlineStr">
        <is>
          <t>sales</t>
        </is>
      </c>
      <c r="C10" s="1" t="inlineStr">
        <is>
          <t>q2021-4</t>
        </is>
      </c>
      <c r="D10" s="8" t="inlineStr">
        <is>
          <t>cum</t>
        </is>
      </c>
      <c r="E10">
        <f>ROUND(E9 * 1.25, 0)</f>
        <v/>
      </c>
      <c r="F10">
        <f>E10 - E9</f>
        <v/>
      </c>
      <c r="G10">
        <f>E10</f>
        <v/>
      </c>
    </row>
    <row r="11">
      <c r="A11" s="5" t="inlineStr">
        <is>
          <t>cieA</t>
        </is>
      </c>
      <c r="B11" t="inlineStr">
        <is>
          <t>sales</t>
        </is>
      </c>
      <c r="C11" s="1" t="inlineStr">
        <is>
          <t>q2022-1</t>
        </is>
      </c>
      <c r="D11" s="8" t="inlineStr">
        <is>
          <t>cum</t>
        </is>
      </c>
      <c r="E11" s="3" t="n">
        <v>150</v>
      </c>
      <c r="F11">
        <f>E11</f>
        <v/>
      </c>
      <c r="G11">
        <f>-E7 + E10 + E11</f>
        <v/>
      </c>
    </row>
    <row r="12">
      <c r="A12" s="5" t="inlineStr">
        <is>
          <t>cieA</t>
        </is>
      </c>
      <c r="B12" t="inlineStr">
        <is>
          <t>costs</t>
        </is>
      </c>
      <c r="C12" s="1" t="inlineStr">
        <is>
          <t>q2019-4</t>
        </is>
      </c>
      <c r="D12" s="8" t="inlineStr">
        <is>
          <t>cum</t>
        </is>
      </c>
      <c r="E12" s="3">
        <f>4*30</f>
        <v/>
      </c>
      <c r="F12">
        <f>0.25 * E12</f>
        <v/>
      </c>
      <c r="G12">
        <f>E12</f>
        <v/>
      </c>
    </row>
    <row r="13">
      <c r="A13" s="5" t="inlineStr">
        <is>
          <t>cieA</t>
        </is>
      </c>
      <c r="B13" t="inlineStr">
        <is>
          <t>costs</t>
        </is>
      </c>
      <c r="C13" s="1" t="inlineStr">
        <is>
          <t>q2020-1</t>
        </is>
      </c>
      <c r="D13" s="8" t="inlineStr">
        <is>
          <t>cum</t>
        </is>
      </c>
      <c r="E13" s="3" t="n">
        <v>70</v>
      </c>
      <c r="F13">
        <f>E13</f>
        <v/>
      </c>
      <c r="G13">
        <f>0.75 * E12 + E13</f>
        <v/>
      </c>
    </row>
    <row r="14">
      <c r="A14" s="5" t="inlineStr">
        <is>
          <t>cieA</t>
        </is>
      </c>
      <c r="B14" t="inlineStr">
        <is>
          <t>costs</t>
        </is>
      </c>
      <c r="C14" s="1" t="inlineStr">
        <is>
          <t>q2020-2</t>
        </is>
      </c>
      <c r="D14" s="8" t="inlineStr">
        <is>
          <t>cum</t>
        </is>
      </c>
      <c r="E14">
        <f>ROUND(E13 * 1.25, 0)</f>
        <v/>
      </c>
      <c r="F14">
        <f>E14 - E13</f>
        <v/>
      </c>
      <c r="G14">
        <f>0.5 * E12 + E14</f>
        <v/>
      </c>
    </row>
    <row r="15">
      <c r="A15" s="5" t="inlineStr">
        <is>
          <t>cieA</t>
        </is>
      </c>
      <c r="B15" t="inlineStr">
        <is>
          <t>costs</t>
        </is>
      </c>
      <c r="C15" s="1" t="inlineStr">
        <is>
          <t>q2020-3</t>
        </is>
      </c>
      <c r="D15" s="8" t="inlineStr">
        <is>
          <t>cum</t>
        </is>
      </c>
      <c r="E15">
        <f>ROUND(E14 * 1.25, 0)</f>
        <v/>
      </c>
      <c r="F15">
        <f>E15 - E14</f>
        <v/>
      </c>
      <c r="G15">
        <f>0.25 * E12 + E15</f>
        <v/>
      </c>
    </row>
    <row r="16">
      <c r="A16" s="5" t="inlineStr">
        <is>
          <t>cieA</t>
        </is>
      </c>
      <c r="B16" t="inlineStr">
        <is>
          <t>costs</t>
        </is>
      </c>
      <c r="C16" s="1" t="inlineStr">
        <is>
          <t>q2020-4</t>
        </is>
      </c>
      <c r="D16" s="8" t="inlineStr">
        <is>
          <t>cum</t>
        </is>
      </c>
      <c r="E16">
        <f>ROUND(E15 * 1.25, 0)</f>
        <v/>
      </c>
      <c r="F16">
        <f>E16 - E15</f>
        <v/>
      </c>
      <c r="G16">
        <f>E16</f>
        <v/>
      </c>
    </row>
    <row r="17">
      <c r="A17" s="5" t="inlineStr">
        <is>
          <t>cieA</t>
        </is>
      </c>
      <c r="B17" t="inlineStr">
        <is>
          <t>costs</t>
        </is>
      </c>
      <c r="C17" s="1" t="inlineStr">
        <is>
          <t>q2021-1</t>
        </is>
      </c>
      <c r="D17" s="8" t="inlineStr">
        <is>
          <t>cum</t>
        </is>
      </c>
      <c r="E17" s="3" t="n">
        <v>100</v>
      </c>
      <c r="F17">
        <f>E17</f>
        <v/>
      </c>
      <c r="G17">
        <f>-E13 + E16 + E17</f>
        <v/>
      </c>
    </row>
    <row r="18">
      <c r="A18" s="5" t="inlineStr">
        <is>
          <t>cieA</t>
        </is>
      </c>
      <c r="B18" t="inlineStr">
        <is>
          <t>costs</t>
        </is>
      </c>
      <c r="C18" s="1" t="inlineStr">
        <is>
          <t>q2021-2</t>
        </is>
      </c>
      <c r="D18" s="8" t="inlineStr">
        <is>
          <t>cum</t>
        </is>
      </c>
      <c r="E18">
        <f>ROUND(E17 * 1.25, 0)</f>
        <v/>
      </c>
      <c r="F18">
        <f>E18 - E17</f>
        <v/>
      </c>
      <c r="G18">
        <f>-E14 + E16 + E18</f>
        <v/>
      </c>
    </row>
    <row r="19">
      <c r="A19" s="5" t="inlineStr">
        <is>
          <t>cieA</t>
        </is>
      </c>
      <c r="B19" t="inlineStr">
        <is>
          <t>costs</t>
        </is>
      </c>
      <c r="C19" s="1" t="inlineStr">
        <is>
          <t>q2021-3</t>
        </is>
      </c>
      <c r="D19" s="8" t="inlineStr">
        <is>
          <t>cum</t>
        </is>
      </c>
      <c r="E19">
        <f>ROUND(E18 * 1.25, 0)</f>
        <v/>
      </c>
      <c r="F19">
        <f>E19 - E18</f>
        <v/>
      </c>
      <c r="G19">
        <f>-E15 + E16 + E19</f>
        <v/>
      </c>
    </row>
    <row r="20">
      <c r="A20" s="5" t="inlineStr">
        <is>
          <t>cieA</t>
        </is>
      </c>
      <c r="B20" t="inlineStr">
        <is>
          <t>costs</t>
        </is>
      </c>
      <c r="C20" s="1" t="inlineStr">
        <is>
          <t>q2021-4</t>
        </is>
      </c>
      <c r="D20" s="8" t="inlineStr">
        <is>
          <t>cum</t>
        </is>
      </c>
      <c r="E20">
        <f>ROUND(E19 * 1.25, 0)</f>
        <v/>
      </c>
      <c r="F20">
        <f>E20 - E19</f>
        <v/>
      </c>
      <c r="G20">
        <f>E20</f>
        <v/>
      </c>
    </row>
    <row r="21">
      <c r="A21" s="5" t="inlineStr">
        <is>
          <t>cieA</t>
        </is>
      </c>
      <c r="B21" t="inlineStr">
        <is>
          <t>costs</t>
        </is>
      </c>
      <c r="C21" s="1" t="inlineStr">
        <is>
          <t>q2022-1</t>
        </is>
      </c>
      <c r="D21" s="8" t="inlineStr">
        <is>
          <t>cum</t>
        </is>
      </c>
      <c r="E21" s="3" t="n">
        <v>125</v>
      </c>
      <c r="F21">
        <f>E21</f>
        <v/>
      </c>
      <c r="G21">
        <f>-E17 + E20 + E21</f>
        <v/>
      </c>
    </row>
    <row r="22">
      <c r="A22" s="5" t="inlineStr">
        <is>
          <t>cieA</t>
        </is>
      </c>
      <c r="B22" s="9" t="inlineStr">
        <is>
          <t>costs</t>
        </is>
      </c>
      <c r="C22" s="10" t="inlineStr">
        <is>
          <t>q2022-2</t>
        </is>
      </c>
      <c r="D22" s="11" t="inlineStr">
        <is>
          <t>cum</t>
        </is>
      </c>
      <c r="E22" s="9">
        <f>ROUND(E21 * 1.25, 0)</f>
        <v/>
      </c>
      <c r="F22" s="9">
        <f>NA()</f>
        <v/>
      </c>
      <c r="G22" s="9">
        <f>NA()</f>
        <v/>
      </c>
    </row>
    <row r="23">
      <c r="A23" s="6" t="inlineStr">
        <is>
          <t>cieB</t>
        </is>
      </c>
      <c r="B23" t="inlineStr">
        <is>
          <t>sales</t>
        </is>
      </c>
      <c r="C23" s="1" t="inlineStr">
        <is>
          <t>q2020-2</t>
        </is>
      </c>
      <c r="D23" s="8" t="inlineStr">
        <is>
          <t>cum</t>
        </is>
      </c>
      <c r="E23">
        <f>E4</f>
        <v/>
      </c>
      <c r="F23">
        <f>NA()</f>
        <v/>
      </c>
      <c r="G23">
        <f>NA()</f>
        <v/>
      </c>
    </row>
    <row r="24">
      <c r="A24" s="6" t="inlineStr">
        <is>
          <t>cieB</t>
        </is>
      </c>
      <c r="B24" t="inlineStr">
        <is>
          <t>sales</t>
        </is>
      </c>
      <c r="C24" s="1" t="inlineStr">
        <is>
          <t>q2020-3</t>
        </is>
      </c>
      <c r="D24" s="8" t="inlineStr">
        <is>
          <t>cum</t>
        </is>
      </c>
      <c r="E24">
        <f>E5</f>
        <v/>
      </c>
      <c r="F24">
        <f>E24 - E23</f>
        <v/>
      </c>
      <c r="G24">
        <f>NA()</f>
        <v/>
      </c>
    </row>
    <row r="25">
      <c r="A25" s="6" t="inlineStr">
        <is>
          <t>cieB</t>
        </is>
      </c>
      <c r="B25" t="inlineStr">
        <is>
          <t>sales</t>
        </is>
      </c>
      <c r="C25" s="1" t="inlineStr">
        <is>
          <t>q2020-4</t>
        </is>
      </c>
      <c r="D25" s="8" t="inlineStr">
        <is>
          <t>cum</t>
        </is>
      </c>
      <c r="E25">
        <f>E6</f>
        <v/>
      </c>
      <c r="F25">
        <f>E25 - E24</f>
        <v/>
      </c>
      <c r="G25">
        <f>E25</f>
        <v/>
      </c>
    </row>
    <row r="26">
      <c r="A26" s="6" t="inlineStr">
        <is>
          <t>cieB</t>
        </is>
      </c>
      <c r="B26" t="inlineStr">
        <is>
          <t>sales</t>
        </is>
      </c>
      <c r="C26" s="1" t="inlineStr">
        <is>
          <t>q2021-1</t>
        </is>
      </c>
      <c r="D26" s="8" t="inlineStr">
        <is>
          <t>cum</t>
        </is>
      </c>
      <c r="E26">
        <f>E7</f>
        <v/>
      </c>
      <c r="F26">
        <f>E26</f>
        <v/>
      </c>
      <c r="G26">
        <f>NA()</f>
        <v/>
      </c>
    </row>
    <row r="27">
      <c r="A27" s="6" t="inlineStr">
        <is>
          <t>cieB</t>
        </is>
      </c>
      <c r="B27" t="inlineStr">
        <is>
          <t>sales</t>
        </is>
      </c>
      <c r="C27" s="1" t="inlineStr">
        <is>
          <t>q2021-2</t>
        </is>
      </c>
      <c r="D27" s="8" t="inlineStr">
        <is>
          <t>cum</t>
        </is>
      </c>
      <c r="E27">
        <f>E8</f>
        <v/>
      </c>
      <c r="F27">
        <f>E27 - E26</f>
        <v/>
      </c>
      <c r="G27">
        <f>-E23 + E25 + E27</f>
        <v/>
      </c>
    </row>
    <row r="28">
      <c r="A28" s="6" t="inlineStr">
        <is>
          <t>cieB</t>
        </is>
      </c>
      <c r="B28" t="inlineStr">
        <is>
          <t>sales</t>
        </is>
      </c>
      <c r="C28" s="1" t="inlineStr">
        <is>
          <t>q2021-4</t>
        </is>
      </c>
      <c r="D28" s="8" t="inlineStr">
        <is>
          <t>cum</t>
        </is>
      </c>
      <c r="E28">
        <f>E10</f>
        <v/>
      </c>
      <c r="F28">
        <f>NA()</f>
        <v/>
      </c>
      <c r="G28">
        <f>E28</f>
        <v/>
      </c>
    </row>
    <row r="29">
      <c r="A29" s="7" t="inlineStr">
        <is>
          <t>cieC</t>
        </is>
      </c>
      <c r="B29" t="inlineStr">
        <is>
          <t>sales</t>
        </is>
      </c>
      <c r="C29" s="1" t="inlineStr">
        <is>
          <t>q2020-2</t>
        </is>
      </c>
      <c r="D29" s="8" t="inlineStr">
        <is>
          <t>cum</t>
        </is>
      </c>
      <c r="E29">
        <f>E4</f>
        <v/>
      </c>
      <c r="F29">
        <f>NA()</f>
        <v/>
      </c>
      <c r="G29">
        <f>NA()</f>
        <v/>
      </c>
    </row>
    <row r="30">
      <c r="A30" s="7" t="inlineStr">
        <is>
          <t>cieC</t>
        </is>
      </c>
      <c r="B30" t="inlineStr">
        <is>
          <t>sales</t>
        </is>
      </c>
      <c r="C30" s="1" t="inlineStr">
        <is>
          <t>q2020-3</t>
        </is>
      </c>
      <c r="D30" s="8" t="inlineStr">
        <is>
          <t>cum</t>
        </is>
      </c>
      <c r="E30">
        <f>E5</f>
        <v/>
      </c>
      <c r="F30">
        <f>E30 - E29</f>
        <v/>
      </c>
      <c r="G30">
        <f>NA()</f>
        <v/>
      </c>
    </row>
    <row r="31">
      <c r="A31" s="7" t="inlineStr">
        <is>
          <t>cieC</t>
        </is>
      </c>
      <c r="B31" t="inlineStr">
        <is>
          <t>sales</t>
        </is>
      </c>
      <c r="C31" s="1" t="inlineStr">
        <is>
          <t>q2021-1</t>
        </is>
      </c>
      <c r="D31" s="8" t="inlineStr">
        <is>
          <t>cum</t>
        </is>
      </c>
      <c r="E31">
        <f>E7</f>
        <v/>
      </c>
      <c r="F31">
        <f>E31</f>
        <v/>
      </c>
      <c r="G31">
        <f>NA()</f>
        <v/>
      </c>
    </row>
    <row r="32">
      <c r="A32" s="7" t="inlineStr">
        <is>
          <t>cieC</t>
        </is>
      </c>
      <c r="B32" t="inlineStr">
        <is>
          <t>sales</t>
        </is>
      </c>
      <c r="C32" s="1" t="inlineStr">
        <is>
          <t>q2021-2</t>
        </is>
      </c>
      <c r="D32" s="8" t="inlineStr">
        <is>
          <t>cum</t>
        </is>
      </c>
      <c r="E32">
        <f>E8</f>
        <v/>
      </c>
      <c r="F32">
        <f>E32 - E31</f>
        <v/>
      </c>
      <c r="G32">
        <f>NA()</f>
        <v/>
      </c>
    </row>
    <row r="33">
      <c r="A33" s="7" t="inlineStr">
        <is>
          <t>cieC</t>
        </is>
      </c>
      <c r="B33" t="inlineStr">
        <is>
          <t>sales</t>
        </is>
      </c>
      <c r="C33" s="1" t="inlineStr">
        <is>
          <t>q2021-3</t>
        </is>
      </c>
      <c r="D33" s="8" t="inlineStr">
        <is>
          <t>cum</t>
        </is>
      </c>
      <c r="E33">
        <f>E9</f>
        <v/>
      </c>
      <c r="F33">
        <f>E33 - E32</f>
        <v/>
      </c>
      <c r="G33">
        <f>NA()</f>
        <v/>
      </c>
    </row>
    <row r="34">
      <c r="A34" s="7" t="inlineStr">
        <is>
          <t>cieC</t>
        </is>
      </c>
      <c r="B34" t="inlineStr">
        <is>
          <t>sales</t>
        </is>
      </c>
      <c r="C34" s="1" t="inlineStr">
        <is>
          <t>q2021-4</t>
        </is>
      </c>
      <c r="D34" s="8" t="inlineStr">
        <is>
          <t>cum</t>
        </is>
      </c>
      <c r="E34">
        <f>E10</f>
        <v/>
      </c>
      <c r="F34">
        <f>E34 - E33</f>
        <v/>
      </c>
      <c r="G34">
        <f>E34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2" sqref="I12"/>
    </sheetView>
  </sheetViews>
  <sheetFormatPr baseColWidth="8" defaultRowHeight="15"/>
  <cols>
    <col width="10.7109375" customWidth="1" min="1" max="1"/>
  </cols>
  <sheetData>
    <row r="1">
      <c r="A1" s="2" t="inlineStr">
        <is>
          <t>idx</t>
        </is>
      </c>
      <c r="B1" t="inlineStr">
        <is>
          <t>q2019-4</t>
        </is>
      </c>
      <c r="C1" t="inlineStr">
        <is>
          <t>q2020-1</t>
        </is>
      </c>
      <c r="D1" t="inlineStr">
        <is>
          <t>q2020-2</t>
        </is>
      </c>
      <c r="E1" t="inlineStr">
        <is>
          <t>q2020-3</t>
        </is>
      </c>
      <c r="F1" t="inlineStr">
        <is>
          <t>q2020-4</t>
        </is>
      </c>
      <c r="G1" t="inlineStr">
        <is>
          <t>q2021-1</t>
        </is>
      </c>
      <c r="H1" t="inlineStr">
        <is>
          <t>q2021-2</t>
        </is>
      </c>
      <c r="I1" t="inlineStr">
        <is>
          <t>q2021-3</t>
        </is>
      </c>
      <c r="J1" t="inlineStr">
        <is>
          <t>q2021-4</t>
        </is>
      </c>
      <c r="K1" t="inlineStr">
        <is>
          <t>q2022-1</t>
        </is>
      </c>
    </row>
    <row r="2">
      <c r="A2" s="1" t="inlineStr">
        <is>
          <t>q2019-4</t>
        </is>
      </c>
      <c r="B2" t="n">
        <v>0.25</v>
      </c>
    </row>
    <row r="3">
      <c r="A3" s="1" t="inlineStr">
        <is>
          <t>q2020-1</t>
        </is>
      </c>
      <c r="C3" t="n">
        <v>1</v>
      </c>
    </row>
    <row r="4">
      <c r="A4" s="1" t="inlineStr">
        <is>
          <t>q2020-2</t>
        </is>
      </c>
      <c r="C4" t="n">
        <v>-1</v>
      </c>
      <c r="D4" t="n">
        <v>1</v>
      </c>
    </row>
    <row r="5">
      <c r="A5" s="1" t="inlineStr">
        <is>
          <t>q2020-3</t>
        </is>
      </c>
      <c r="D5" t="n">
        <v>-1</v>
      </c>
      <c r="E5" t="n">
        <v>1</v>
      </c>
    </row>
    <row r="6">
      <c r="A6" s="1" t="inlineStr">
        <is>
          <t>q2020-4</t>
        </is>
      </c>
      <c r="E6" t="n">
        <v>-1</v>
      </c>
      <c r="F6" t="n">
        <v>1</v>
      </c>
    </row>
    <row r="7">
      <c r="A7" s="1" t="inlineStr">
        <is>
          <t>q2021-1</t>
        </is>
      </c>
      <c r="G7" t="n">
        <v>1</v>
      </c>
    </row>
    <row r="8">
      <c r="A8" s="1" t="inlineStr">
        <is>
          <t>q2021-2</t>
        </is>
      </c>
      <c r="G8" t="n">
        <v>-1</v>
      </c>
      <c r="H8" t="n">
        <v>1</v>
      </c>
    </row>
    <row r="9">
      <c r="A9" s="1" t="inlineStr">
        <is>
          <t>q2021-3</t>
        </is>
      </c>
      <c r="H9" t="n">
        <v>-1</v>
      </c>
      <c r="I9" t="n">
        <v>1</v>
      </c>
    </row>
    <row r="10">
      <c r="A10" s="1" t="inlineStr">
        <is>
          <t>q2021-4</t>
        </is>
      </c>
      <c r="I10" t="n">
        <v>-1</v>
      </c>
      <c r="J10" t="n">
        <v>1</v>
      </c>
    </row>
    <row r="11">
      <c r="A11" s="1" t="inlineStr">
        <is>
          <t>q2022-1</t>
        </is>
      </c>
      <c r="K11" t="n">
        <v>1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1" sqref="A11"/>
    </sheetView>
  </sheetViews>
  <sheetFormatPr baseColWidth="8" defaultRowHeight="15"/>
  <cols>
    <col width="11.5703125" customWidth="1" min="1" max="1"/>
  </cols>
  <sheetData>
    <row r="1">
      <c r="A1" s="2" t="inlineStr">
        <is>
          <t>idx</t>
        </is>
      </c>
      <c r="B1" t="inlineStr">
        <is>
          <t>q2019-4</t>
        </is>
      </c>
      <c r="C1" t="inlineStr">
        <is>
          <t>q2020-1</t>
        </is>
      </c>
      <c r="D1" t="inlineStr">
        <is>
          <t>q2020-2</t>
        </is>
      </c>
      <c r="E1" t="inlineStr">
        <is>
          <t>q2020-3</t>
        </is>
      </c>
      <c r="F1" t="inlineStr">
        <is>
          <t>q2020-4</t>
        </is>
      </c>
      <c r="G1" t="inlineStr">
        <is>
          <t>q2021-1</t>
        </is>
      </c>
      <c r="H1" t="inlineStr">
        <is>
          <t>q2021-2</t>
        </is>
      </c>
      <c r="I1" t="inlineStr">
        <is>
          <t>q2021-3</t>
        </is>
      </c>
      <c r="J1" t="inlineStr">
        <is>
          <t>q2021-4</t>
        </is>
      </c>
      <c r="K1" t="inlineStr">
        <is>
          <t>q2022-1</t>
        </is>
      </c>
    </row>
    <row r="2">
      <c r="A2" s="1" t="inlineStr">
        <is>
          <t>q2019-4</t>
        </is>
      </c>
      <c r="B2" t="n">
        <v>1</v>
      </c>
    </row>
    <row r="3">
      <c r="A3" s="1" t="inlineStr">
        <is>
          <t>q2020-1</t>
        </is>
      </c>
      <c r="B3" t="n">
        <v>0.75</v>
      </c>
      <c r="C3" t="n">
        <v>1</v>
      </c>
    </row>
    <row r="4">
      <c r="A4" s="1" t="inlineStr">
        <is>
          <t>q2020-2</t>
        </is>
      </c>
      <c r="B4" t="n">
        <v>0.5</v>
      </c>
      <c r="D4" t="n">
        <v>1</v>
      </c>
    </row>
    <row r="5">
      <c r="A5" s="1" t="inlineStr">
        <is>
          <t>q2020-3</t>
        </is>
      </c>
      <c r="B5" t="n">
        <v>0.25</v>
      </c>
      <c r="E5" t="n">
        <v>1</v>
      </c>
    </row>
    <row r="6">
      <c r="A6" s="1" t="inlineStr">
        <is>
          <t>q2020-4</t>
        </is>
      </c>
      <c r="F6" t="n">
        <v>1</v>
      </c>
    </row>
    <row r="7">
      <c r="A7" s="1" t="inlineStr">
        <is>
          <t>q2021-1</t>
        </is>
      </c>
      <c r="C7" t="n">
        <v>-1</v>
      </c>
      <c r="F7" t="n">
        <v>1</v>
      </c>
      <c r="G7" t="n">
        <v>1</v>
      </c>
    </row>
    <row r="8">
      <c r="A8" s="1" t="inlineStr">
        <is>
          <t>q2021-2</t>
        </is>
      </c>
      <c r="D8" t="n">
        <v>-1</v>
      </c>
      <c r="F8" t="n">
        <v>1</v>
      </c>
      <c r="H8" t="n">
        <v>1</v>
      </c>
    </row>
    <row r="9">
      <c r="A9" s="1" t="inlineStr">
        <is>
          <t>q2021-3</t>
        </is>
      </c>
      <c r="E9" t="n">
        <v>-1</v>
      </c>
      <c r="F9" t="n">
        <v>1</v>
      </c>
      <c r="I9" t="n">
        <v>1</v>
      </c>
    </row>
    <row r="10">
      <c r="A10" s="1" t="inlineStr">
        <is>
          <t>q2021-4</t>
        </is>
      </c>
      <c r="J10" t="n">
        <v>1</v>
      </c>
    </row>
    <row r="11">
      <c r="A11" s="1" t="inlineStr">
        <is>
          <t>q2022-1</t>
        </is>
      </c>
      <c r="G11" t="n">
        <v>-1</v>
      </c>
      <c r="J11" t="n">
        <v>1</v>
      </c>
      <c r="K11" t="n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" sqref="C3"/>
    </sheetView>
  </sheetViews>
  <sheetFormatPr baseColWidth="8" defaultRowHeight="15"/>
  <cols>
    <col width="10.7109375" customWidth="1" min="1" max="1"/>
  </cols>
  <sheetData>
    <row r="1">
      <c r="A1" s="2" t="inlineStr">
        <is>
          <t>idx</t>
        </is>
      </c>
      <c r="B1" t="inlineStr">
        <is>
          <t>q2019-4</t>
        </is>
      </c>
      <c r="C1" t="inlineStr">
        <is>
          <t>q2020-1</t>
        </is>
      </c>
      <c r="D1" t="inlineStr">
        <is>
          <t>q2020-2</t>
        </is>
      </c>
      <c r="E1" t="inlineStr">
        <is>
          <t>q2020-3</t>
        </is>
      </c>
      <c r="F1" t="inlineStr">
        <is>
          <t>q2020-4</t>
        </is>
      </c>
      <c r="G1" t="inlineStr">
        <is>
          <t>q2021-1</t>
        </is>
      </c>
      <c r="H1" t="inlineStr">
        <is>
          <t>q2021-2</t>
        </is>
      </c>
      <c r="I1" t="inlineStr">
        <is>
          <t>q2021-3</t>
        </is>
      </c>
      <c r="J1" t="inlineStr">
        <is>
          <t>q2021-4</t>
        </is>
      </c>
      <c r="K1" t="inlineStr">
        <is>
          <t>q2022-1</t>
        </is>
      </c>
    </row>
    <row r="2">
      <c r="A2" s="1" t="inlineStr">
        <is>
          <t>q2019-4</t>
        </is>
      </c>
      <c r="B2" t="n">
        <v>0.25</v>
      </c>
    </row>
    <row r="3">
      <c r="A3" s="1" t="inlineStr">
        <is>
          <t>q2020-1</t>
        </is>
      </c>
      <c r="C3" t="n">
        <v>1</v>
      </c>
      <c r="D3" t="n">
        <v>-1</v>
      </c>
    </row>
    <row r="4">
      <c r="A4" s="1" t="inlineStr">
        <is>
          <t>q2020-2</t>
        </is>
      </c>
      <c r="D4" t="n">
        <v>1</v>
      </c>
      <c r="E4" t="n">
        <v>-1</v>
      </c>
    </row>
    <row r="5">
      <c r="A5" s="1" t="inlineStr">
        <is>
          <t>q2020-3</t>
        </is>
      </c>
      <c r="E5" t="n">
        <v>1</v>
      </c>
      <c r="F5" t="n">
        <v>-1</v>
      </c>
    </row>
    <row r="6">
      <c r="A6" s="1" t="inlineStr">
        <is>
          <t>q2020-4</t>
        </is>
      </c>
      <c r="F6" t="n">
        <v>1</v>
      </c>
    </row>
    <row r="7">
      <c r="A7" s="1" t="inlineStr">
        <is>
          <t>q2021-1</t>
        </is>
      </c>
      <c r="G7" t="n">
        <v>1</v>
      </c>
      <c r="H7" t="n">
        <v>-1</v>
      </c>
    </row>
    <row r="8">
      <c r="A8" s="1" t="inlineStr">
        <is>
          <t>q2021-2</t>
        </is>
      </c>
      <c r="H8" t="n">
        <v>1</v>
      </c>
      <c r="I8" t="n">
        <v>-1</v>
      </c>
    </row>
    <row r="9">
      <c r="A9" s="1" t="inlineStr">
        <is>
          <t>q2021-3</t>
        </is>
      </c>
      <c r="I9" t="n">
        <v>1</v>
      </c>
      <c r="J9" t="n">
        <v>-1</v>
      </c>
    </row>
    <row r="10">
      <c r="A10" s="1" t="inlineStr">
        <is>
          <t>q2021-4</t>
        </is>
      </c>
      <c r="J10" t="n">
        <v>1</v>
      </c>
    </row>
    <row r="11">
      <c r="A11" s="1" t="inlineStr">
        <is>
          <t>q2022-1</t>
        </is>
      </c>
      <c r="K11" t="n">
        <v>1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0" sqref="D20"/>
    </sheetView>
  </sheetViews>
  <sheetFormatPr baseColWidth="8" defaultRowHeight="15"/>
  <cols>
    <col width="11.5703125" customWidth="1" min="1" max="1"/>
  </cols>
  <sheetData>
    <row r="1">
      <c r="A1" s="2" t="inlineStr">
        <is>
          <t>idx</t>
        </is>
      </c>
      <c r="B1" t="inlineStr">
        <is>
          <t>q2019-4</t>
        </is>
      </c>
      <c r="C1" t="inlineStr">
        <is>
          <t>q2020-1</t>
        </is>
      </c>
      <c r="D1" t="inlineStr">
        <is>
          <t>q2020-2</t>
        </is>
      </c>
      <c r="E1" t="inlineStr">
        <is>
          <t>q2020-3</t>
        </is>
      </c>
      <c r="F1" t="inlineStr">
        <is>
          <t>q2020-4</t>
        </is>
      </c>
      <c r="G1" t="inlineStr">
        <is>
          <t>q2021-1</t>
        </is>
      </c>
      <c r="H1" t="inlineStr">
        <is>
          <t>q2021-2</t>
        </is>
      </c>
      <c r="I1" t="inlineStr">
        <is>
          <t>q2021-3</t>
        </is>
      </c>
      <c r="J1" t="inlineStr">
        <is>
          <t>q2021-4</t>
        </is>
      </c>
      <c r="K1" t="inlineStr">
        <is>
          <t>q2022-1</t>
        </is>
      </c>
    </row>
    <row r="2">
      <c r="A2" s="1" t="inlineStr">
        <is>
          <t>q2019-4</t>
        </is>
      </c>
      <c r="B2" t="n">
        <v>1</v>
      </c>
      <c r="C2" t="n">
        <v>0.75</v>
      </c>
      <c r="D2" t="n">
        <v>0.5</v>
      </c>
      <c r="E2" t="n">
        <v>0.25</v>
      </c>
    </row>
    <row r="3">
      <c r="A3" s="1" t="inlineStr">
        <is>
          <t>q2020-1</t>
        </is>
      </c>
      <c r="C3" t="n">
        <v>1</v>
      </c>
      <c r="G3" t="n">
        <v>-1</v>
      </c>
    </row>
    <row r="4">
      <c r="A4" s="1" t="inlineStr">
        <is>
          <t>q2020-2</t>
        </is>
      </c>
      <c r="D4" t="n">
        <v>1</v>
      </c>
      <c r="H4" t="n">
        <v>-1</v>
      </c>
    </row>
    <row r="5">
      <c r="A5" s="1" t="inlineStr">
        <is>
          <t>q2020-3</t>
        </is>
      </c>
      <c r="E5" t="n">
        <v>1</v>
      </c>
      <c r="I5" t="n">
        <v>-1</v>
      </c>
    </row>
    <row r="6">
      <c r="A6" s="1" t="inlineStr">
        <is>
          <t>q2020-4</t>
        </is>
      </c>
      <c r="F6" t="n">
        <v>1</v>
      </c>
      <c r="G6" t="n">
        <v>1</v>
      </c>
      <c r="H6" t="n">
        <v>1</v>
      </c>
      <c r="I6" t="n">
        <v>1</v>
      </c>
    </row>
    <row r="7">
      <c r="A7" s="1" t="inlineStr">
        <is>
          <t>q2021-1</t>
        </is>
      </c>
      <c r="G7" t="n">
        <v>1</v>
      </c>
      <c r="K7" t="n">
        <v>-1</v>
      </c>
    </row>
    <row r="8">
      <c r="A8" s="1" t="inlineStr">
        <is>
          <t>q2021-2</t>
        </is>
      </c>
      <c r="H8" t="n">
        <v>1</v>
      </c>
    </row>
    <row r="9">
      <c r="A9" s="1" t="inlineStr">
        <is>
          <t>q2021-3</t>
        </is>
      </c>
      <c r="I9" t="n">
        <v>1</v>
      </c>
    </row>
    <row r="10">
      <c r="A10" s="1" t="inlineStr">
        <is>
          <t>q2021-4</t>
        </is>
      </c>
      <c r="J10" t="n">
        <v>1</v>
      </c>
      <c r="K10" t="n">
        <v>1</v>
      </c>
    </row>
    <row r="11">
      <c r="A11" s="1" t="inlineStr">
        <is>
          <t>q2022-1</t>
        </is>
      </c>
      <c r="K11" t="n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entity</t>
        </is>
      </c>
      <c r="B1" t="inlineStr">
        <is>
          <t>concept</t>
        </is>
      </c>
      <c r="C1" t="inlineStr">
        <is>
          <t>period</t>
        </is>
      </c>
      <c r="D1" t="inlineStr">
        <is>
          <t>pertype</t>
        </is>
      </c>
      <c r="E1" t="inlineStr">
        <is>
          <t>amount</t>
        </is>
      </c>
      <c r="F1" t="inlineStr">
        <is>
          <t>qrtr_target</t>
        </is>
      </c>
      <c r="G1" t="inlineStr">
        <is>
          <t>rolly_target</t>
        </is>
      </c>
      <c r="H1" t="inlineStr">
        <is>
          <t>rolly_amt</t>
        </is>
      </c>
    </row>
    <row r="2">
      <c r="A2" t="inlineStr">
        <is>
          <t>cieA</t>
        </is>
      </c>
      <c r="B2" t="inlineStr">
        <is>
          <t>sales</t>
        </is>
      </c>
      <c r="C2" t="inlineStr">
        <is>
          <t>q2019-4</t>
        </is>
      </c>
      <c r="D2" t="inlineStr">
        <is>
          <t>cum</t>
        </is>
      </c>
      <c r="E2" t="n">
        <v>160</v>
      </c>
      <c r="F2" t="n">
        <v>40</v>
      </c>
      <c r="G2" t="n">
        <v>160</v>
      </c>
      <c r="H2" t="n">
        <v>160</v>
      </c>
    </row>
    <row r="3">
      <c r="A3" t="inlineStr">
        <is>
          <t>cieA</t>
        </is>
      </c>
      <c r="B3" t="inlineStr">
        <is>
          <t>sales</t>
        </is>
      </c>
      <c r="C3" t="inlineStr">
        <is>
          <t>q2020-1</t>
        </is>
      </c>
      <c r="D3" t="inlineStr">
        <is>
          <t>cum</t>
        </is>
      </c>
      <c r="E3" t="n">
        <v>100</v>
      </c>
      <c r="F3" t="n">
        <v>100</v>
      </c>
      <c r="G3" t="n">
        <v>220</v>
      </c>
      <c r="H3" t="n">
        <v>220</v>
      </c>
    </row>
    <row r="4">
      <c r="A4" t="inlineStr">
        <is>
          <t>cieA</t>
        </is>
      </c>
      <c r="B4" t="inlineStr">
        <is>
          <t>sales</t>
        </is>
      </c>
      <c r="C4" t="inlineStr">
        <is>
          <t>q2020-2</t>
        </is>
      </c>
      <c r="D4" t="inlineStr">
        <is>
          <t>cum</t>
        </is>
      </c>
      <c r="E4" t="n">
        <v>125</v>
      </c>
      <c r="F4" t="n">
        <v>25</v>
      </c>
      <c r="G4" t="n">
        <v>205</v>
      </c>
      <c r="H4" t="n">
        <v>205</v>
      </c>
    </row>
    <row r="5">
      <c r="A5" t="inlineStr">
        <is>
          <t>cieA</t>
        </is>
      </c>
      <c r="B5" t="inlineStr">
        <is>
          <t>sales</t>
        </is>
      </c>
      <c r="C5" t="inlineStr">
        <is>
          <t>q2020-3</t>
        </is>
      </c>
      <c r="D5" t="inlineStr">
        <is>
          <t>cum</t>
        </is>
      </c>
      <c r="E5" t="n">
        <v>156</v>
      </c>
      <c r="F5" t="n">
        <v>31</v>
      </c>
      <c r="G5" t="n">
        <v>196</v>
      </c>
      <c r="H5" t="n">
        <v>196</v>
      </c>
    </row>
    <row r="6">
      <c r="A6" t="inlineStr">
        <is>
          <t>cieA</t>
        </is>
      </c>
      <c r="B6" t="inlineStr">
        <is>
          <t>sales</t>
        </is>
      </c>
      <c r="C6" t="inlineStr">
        <is>
          <t>q2020-4</t>
        </is>
      </c>
      <c r="D6" t="inlineStr">
        <is>
          <t>cum</t>
        </is>
      </c>
      <c r="E6" t="n">
        <v>195</v>
      </c>
      <c r="F6" t="n">
        <v>39</v>
      </c>
      <c r="G6" t="n">
        <v>195</v>
      </c>
      <c r="H6" t="n">
        <v>195</v>
      </c>
    </row>
    <row r="7">
      <c r="A7" t="inlineStr">
        <is>
          <t>cieA</t>
        </is>
      </c>
      <c r="B7" t="inlineStr">
        <is>
          <t>sales</t>
        </is>
      </c>
      <c r="C7" t="inlineStr">
        <is>
          <t>q2021-1</t>
        </is>
      </c>
      <c r="D7" t="inlineStr">
        <is>
          <t>cum</t>
        </is>
      </c>
      <c r="E7" t="n">
        <v>125</v>
      </c>
      <c r="F7" t="n">
        <v>125</v>
      </c>
      <c r="G7" t="n">
        <v>220</v>
      </c>
      <c r="H7" t="n">
        <v>220</v>
      </c>
    </row>
    <row r="8">
      <c r="A8" t="inlineStr">
        <is>
          <t>cieA</t>
        </is>
      </c>
      <c r="B8" t="inlineStr">
        <is>
          <t>sales</t>
        </is>
      </c>
      <c r="C8" t="inlineStr">
        <is>
          <t>q2021-2</t>
        </is>
      </c>
      <c r="D8" t="inlineStr">
        <is>
          <t>cum</t>
        </is>
      </c>
      <c r="E8" t="n">
        <v>156</v>
      </c>
      <c r="F8" t="n">
        <v>31</v>
      </c>
      <c r="G8" t="n">
        <v>226</v>
      </c>
      <c r="H8" t="n">
        <v>226</v>
      </c>
    </row>
    <row r="9">
      <c r="A9" t="inlineStr">
        <is>
          <t>cieA</t>
        </is>
      </c>
      <c r="B9" t="inlineStr">
        <is>
          <t>sales</t>
        </is>
      </c>
      <c r="C9" t="inlineStr">
        <is>
          <t>q2021-3</t>
        </is>
      </c>
      <c r="D9" t="inlineStr">
        <is>
          <t>cum</t>
        </is>
      </c>
      <c r="E9" t="n">
        <v>195</v>
      </c>
      <c r="F9" t="n">
        <v>39</v>
      </c>
      <c r="G9" t="n">
        <v>234</v>
      </c>
      <c r="H9" t="n">
        <v>234</v>
      </c>
    </row>
    <row r="10">
      <c r="A10" t="inlineStr">
        <is>
          <t>cieA</t>
        </is>
      </c>
      <c r="B10" t="inlineStr">
        <is>
          <t>sales</t>
        </is>
      </c>
      <c r="C10" t="inlineStr">
        <is>
          <t>q2021-4</t>
        </is>
      </c>
      <c r="D10" t="inlineStr">
        <is>
          <t>cum</t>
        </is>
      </c>
      <c r="E10" t="n">
        <v>244</v>
      </c>
      <c r="F10" t="n">
        <v>49</v>
      </c>
      <c r="G10" t="n">
        <v>244</v>
      </c>
      <c r="H10" t="n">
        <v>244</v>
      </c>
    </row>
    <row r="11">
      <c r="A11" t="inlineStr">
        <is>
          <t>cieA</t>
        </is>
      </c>
      <c r="B11" t="inlineStr">
        <is>
          <t>sales</t>
        </is>
      </c>
      <c r="C11" t="inlineStr">
        <is>
          <t>q2022-1</t>
        </is>
      </c>
      <c r="D11" t="inlineStr">
        <is>
          <t>cum</t>
        </is>
      </c>
      <c r="E11" t="n">
        <v>150</v>
      </c>
      <c r="F11" t="n">
        <v>150</v>
      </c>
      <c r="G11" t="n">
        <v>269</v>
      </c>
      <c r="H11" t="n">
        <v>269</v>
      </c>
    </row>
    <row r="12">
      <c r="A12" t="inlineStr">
        <is>
          <t>cieA</t>
        </is>
      </c>
      <c r="B12" t="inlineStr">
        <is>
          <t>costs</t>
        </is>
      </c>
      <c r="C12" t="inlineStr">
        <is>
          <t>q2019-4</t>
        </is>
      </c>
      <c r="D12" t="inlineStr">
        <is>
          <t>cum</t>
        </is>
      </c>
      <c r="E12" t="n">
        <v>120</v>
      </c>
      <c r="F12" t="n">
        <v>30</v>
      </c>
      <c r="G12" t="n">
        <v>120</v>
      </c>
      <c r="H12" t="n">
        <v>120</v>
      </c>
    </row>
    <row r="13">
      <c r="A13" t="inlineStr">
        <is>
          <t>cieA</t>
        </is>
      </c>
      <c r="B13" t="inlineStr">
        <is>
          <t>costs</t>
        </is>
      </c>
      <c r="C13" t="inlineStr">
        <is>
          <t>q2020-1</t>
        </is>
      </c>
      <c r="D13" t="inlineStr">
        <is>
          <t>cum</t>
        </is>
      </c>
      <c r="E13" t="n">
        <v>70</v>
      </c>
      <c r="F13" t="n">
        <v>70</v>
      </c>
      <c r="G13" t="n">
        <v>160</v>
      </c>
      <c r="H13" t="n">
        <v>160</v>
      </c>
    </row>
    <row r="14">
      <c r="A14" t="inlineStr">
        <is>
          <t>cieA</t>
        </is>
      </c>
      <c r="B14" t="inlineStr">
        <is>
          <t>costs</t>
        </is>
      </c>
      <c r="C14" t="inlineStr">
        <is>
          <t>q2020-2</t>
        </is>
      </c>
      <c r="D14" t="inlineStr">
        <is>
          <t>cum</t>
        </is>
      </c>
      <c r="E14" t="n">
        <v>88</v>
      </c>
      <c r="F14" t="n">
        <v>18</v>
      </c>
      <c r="G14" t="n">
        <v>148</v>
      </c>
      <c r="H14" t="n">
        <v>148</v>
      </c>
    </row>
    <row r="15">
      <c r="A15" t="inlineStr">
        <is>
          <t>cieA</t>
        </is>
      </c>
      <c r="B15" t="inlineStr">
        <is>
          <t>costs</t>
        </is>
      </c>
      <c r="C15" t="inlineStr">
        <is>
          <t>q2020-3</t>
        </is>
      </c>
      <c r="D15" t="inlineStr">
        <is>
          <t>cum</t>
        </is>
      </c>
      <c r="E15" t="n">
        <v>110</v>
      </c>
      <c r="F15" t="n">
        <v>22</v>
      </c>
      <c r="G15" t="n">
        <v>140</v>
      </c>
      <c r="H15" t="n">
        <v>140</v>
      </c>
    </row>
    <row r="16">
      <c r="A16" t="inlineStr">
        <is>
          <t>cieA</t>
        </is>
      </c>
      <c r="B16" t="inlineStr">
        <is>
          <t>costs</t>
        </is>
      </c>
      <c r="C16" t="inlineStr">
        <is>
          <t>q2020-4</t>
        </is>
      </c>
      <c r="D16" t="inlineStr">
        <is>
          <t>cum</t>
        </is>
      </c>
      <c r="E16" t="n">
        <v>138</v>
      </c>
      <c r="F16" t="n">
        <v>28</v>
      </c>
      <c r="G16" t="n">
        <v>138</v>
      </c>
      <c r="H16" t="n">
        <v>138</v>
      </c>
    </row>
    <row r="17">
      <c r="A17" t="inlineStr">
        <is>
          <t>cieA</t>
        </is>
      </c>
      <c r="B17" t="inlineStr">
        <is>
          <t>costs</t>
        </is>
      </c>
      <c r="C17" t="inlineStr">
        <is>
          <t>q2021-1</t>
        </is>
      </c>
      <c r="D17" t="inlineStr">
        <is>
          <t>cum</t>
        </is>
      </c>
      <c r="E17" t="n">
        <v>100</v>
      </c>
      <c r="F17" t="n">
        <v>100</v>
      </c>
      <c r="G17" t="n">
        <v>168</v>
      </c>
      <c r="H17" t="n">
        <v>168</v>
      </c>
    </row>
    <row r="18">
      <c r="A18" t="inlineStr">
        <is>
          <t>cieA</t>
        </is>
      </c>
      <c r="B18" t="inlineStr">
        <is>
          <t>costs</t>
        </is>
      </c>
      <c r="C18" t="inlineStr">
        <is>
          <t>q2021-2</t>
        </is>
      </c>
      <c r="D18" t="inlineStr">
        <is>
          <t>cum</t>
        </is>
      </c>
      <c r="E18" t="n">
        <v>125</v>
      </c>
      <c r="F18" t="n">
        <v>25</v>
      </c>
      <c r="G18" t="n">
        <v>175</v>
      </c>
      <c r="H18" t="n">
        <v>175</v>
      </c>
    </row>
    <row r="19">
      <c r="A19" t="inlineStr">
        <is>
          <t>cieA</t>
        </is>
      </c>
      <c r="B19" t="inlineStr">
        <is>
          <t>costs</t>
        </is>
      </c>
      <c r="C19" t="inlineStr">
        <is>
          <t>q2021-3</t>
        </is>
      </c>
      <c r="D19" t="inlineStr">
        <is>
          <t>cum</t>
        </is>
      </c>
      <c r="E19" t="n">
        <v>156</v>
      </c>
      <c r="F19" t="n">
        <v>31</v>
      </c>
      <c r="G19" t="n">
        <v>184</v>
      </c>
      <c r="H19" t="n">
        <v>184</v>
      </c>
    </row>
    <row r="20">
      <c r="A20" t="inlineStr">
        <is>
          <t>cieA</t>
        </is>
      </c>
      <c r="B20" t="inlineStr">
        <is>
          <t>costs</t>
        </is>
      </c>
      <c r="C20" t="inlineStr">
        <is>
          <t>q2021-4</t>
        </is>
      </c>
      <c r="D20" t="inlineStr">
        <is>
          <t>cum</t>
        </is>
      </c>
      <c r="E20" t="n">
        <v>195</v>
      </c>
      <c r="F20" t="n">
        <v>39</v>
      </c>
      <c r="G20" t="n">
        <v>195</v>
      </c>
      <c r="H20" t="n">
        <v>195</v>
      </c>
    </row>
    <row r="21">
      <c r="A21" t="inlineStr">
        <is>
          <t>cieA</t>
        </is>
      </c>
      <c r="B21" t="inlineStr">
        <is>
          <t>costs</t>
        </is>
      </c>
      <c r="C21" t="inlineStr">
        <is>
          <t>q2022-1</t>
        </is>
      </c>
      <c r="D21" t="inlineStr">
        <is>
          <t>cum</t>
        </is>
      </c>
      <c r="E21" t="n">
        <v>125</v>
      </c>
      <c r="F21" t="n">
        <v>125</v>
      </c>
      <c r="G21" t="n">
        <v>220</v>
      </c>
      <c r="H21" t="n">
        <v>220</v>
      </c>
    </row>
    <row r="22">
      <c r="A22" t="inlineStr">
        <is>
          <t>cieA</t>
        </is>
      </c>
      <c r="B22" t="inlineStr">
        <is>
          <t>costs</t>
        </is>
      </c>
      <c r="C22" t="inlineStr">
        <is>
          <t>q2022-2</t>
        </is>
      </c>
      <c r="D22" t="inlineStr">
        <is>
          <t>cum</t>
        </is>
      </c>
      <c r="E22" t="n">
        <v>156</v>
      </c>
      <c r="F22" t="inlineStr"/>
      <c r="G22" t="inlineStr"/>
      <c r="H22" t="inlineStr"/>
    </row>
    <row r="23">
      <c r="A23" t="inlineStr">
        <is>
          <t>cieB</t>
        </is>
      </c>
      <c r="B23" t="inlineStr">
        <is>
          <t>sales</t>
        </is>
      </c>
      <c r="C23" t="inlineStr">
        <is>
          <t>q2020-2</t>
        </is>
      </c>
      <c r="D23" t="inlineStr">
        <is>
          <t>cum</t>
        </is>
      </c>
      <c r="E23" t="n">
        <v>125</v>
      </c>
      <c r="F23" t="inlineStr"/>
      <c r="G23" t="inlineStr"/>
      <c r="H23" t="inlineStr"/>
    </row>
    <row r="24">
      <c r="A24" t="inlineStr">
        <is>
          <t>cieB</t>
        </is>
      </c>
      <c r="B24" t="inlineStr">
        <is>
          <t>sales</t>
        </is>
      </c>
      <c r="C24" t="inlineStr">
        <is>
          <t>q2020-3</t>
        </is>
      </c>
      <c r="D24" t="inlineStr">
        <is>
          <t>cum</t>
        </is>
      </c>
      <c r="E24" t="n">
        <v>156</v>
      </c>
      <c r="F24" t="n">
        <v>31</v>
      </c>
      <c r="G24" t="inlineStr"/>
      <c r="H24" t="inlineStr"/>
    </row>
    <row r="25">
      <c r="A25" t="inlineStr">
        <is>
          <t>cieB</t>
        </is>
      </c>
      <c r="B25" t="inlineStr">
        <is>
          <t>sales</t>
        </is>
      </c>
      <c r="C25" t="inlineStr">
        <is>
          <t>q2020-4</t>
        </is>
      </c>
      <c r="D25" t="inlineStr">
        <is>
          <t>cum</t>
        </is>
      </c>
      <c r="E25" t="n">
        <v>195</v>
      </c>
      <c r="F25" t="n">
        <v>39</v>
      </c>
      <c r="G25" t="n">
        <v>195</v>
      </c>
      <c r="H25" t="n">
        <v>195</v>
      </c>
    </row>
    <row r="26">
      <c r="A26" t="inlineStr">
        <is>
          <t>cieB</t>
        </is>
      </c>
      <c r="B26" t="inlineStr">
        <is>
          <t>sales</t>
        </is>
      </c>
      <c r="C26" t="inlineStr">
        <is>
          <t>q2021-1</t>
        </is>
      </c>
      <c r="D26" t="inlineStr">
        <is>
          <t>cum</t>
        </is>
      </c>
      <c r="E26" t="n">
        <v>125</v>
      </c>
      <c r="F26" t="n">
        <v>125</v>
      </c>
      <c r="G26" t="inlineStr"/>
      <c r="H26" t="inlineStr"/>
    </row>
    <row r="27">
      <c r="A27" t="inlineStr">
        <is>
          <t>cieB</t>
        </is>
      </c>
      <c r="B27" t="inlineStr">
        <is>
          <t>sales</t>
        </is>
      </c>
      <c r="C27" t="inlineStr">
        <is>
          <t>q2021-2</t>
        </is>
      </c>
      <c r="D27" t="inlineStr">
        <is>
          <t>cum</t>
        </is>
      </c>
      <c r="E27" t="n">
        <v>156</v>
      </c>
      <c r="F27" t="n">
        <v>31</v>
      </c>
      <c r="G27" t="n">
        <v>226</v>
      </c>
      <c r="H27" t="n">
        <v>226</v>
      </c>
    </row>
    <row r="28">
      <c r="A28" t="inlineStr">
        <is>
          <t>cieB</t>
        </is>
      </c>
      <c r="B28" t="inlineStr">
        <is>
          <t>sales</t>
        </is>
      </c>
      <c r="C28" t="inlineStr">
        <is>
          <t>q2021-4</t>
        </is>
      </c>
      <c r="D28" t="inlineStr">
        <is>
          <t>cum</t>
        </is>
      </c>
      <c r="E28" t="n">
        <v>244</v>
      </c>
      <c r="F28" t="inlineStr"/>
      <c r="G28" t="n">
        <v>244</v>
      </c>
      <c r="H28" t="n">
        <v>244</v>
      </c>
    </row>
    <row r="29">
      <c r="A29" t="inlineStr">
        <is>
          <t>cieC</t>
        </is>
      </c>
      <c r="B29" t="inlineStr">
        <is>
          <t>sales</t>
        </is>
      </c>
      <c r="C29" t="inlineStr">
        <is>
          <t>q2020-2</t>
        </is>
      </c>
      <c r="D29" t="inlineStr">
        <is>
          <t>cum</t>
        </is>
      </c>
      <c r="E29" t="n">
        <v>125</v>
      </c>
      <c r="F29" t="inlineStr"/>
      <c r="G29" t="inlineStr"/>
      <c r="H29" t="inlineStr"/>
    </row>
    <row r="30">
      <c r="A30" t="inlineStr">
        <is>
          <t>cieC</t>
        </is>
      </c>
      <c r="B30" t="inlineStr">
        <is>
          <t>sales</t>
        </is>
      </c>
      <c r="C30" t="inlineStr">
        <is>
          <t>q2020-3</t>
        </is>
      </c>
      <c r="D30" t="inlineStr">
        <is>
          <t>cum</t>
        </is>
      </c>
      <c r="E30" t="n">
        <v>156</v>
      </c>
      <c r="F30" t="n">
        <v>31</v>
      </c>
      <c r="G30" t="inlineStr"/>
      <c r="H30" t="inlineStr"/>
    </row>
    <row r="31">
      <c r="A31" t="inlineStr">
        <is>
          <t>cieC</t>
        </is>
      </c>
      <c r="B31" t="inlineStr">
        <is>
          <t>sales</t>
        </is>
      </c>
      <c r="C31" t="inlineStr">
        <is>
          <t>q2021-1</t>
        </is>
      </c>
      <c r="D31" t="inlineStr">
        <is>
          <t>cum</t>
        </is>
      </c>
      <c r="E31" t="n">
        <v>125</v>
      </c>
      <c r="F31" t="n">
        <v>125</v>
      </c>
      <c r="G31" t="inlineStr"/>
      <c r="H31" t="inlineStr"/>
    </row>
    <row r="32">
      <c r="A32" t="inlineStr">
        <is>
          <t>cieC</t>
        </is>
      </c>
      <c r="B32" t="inlineStr">
        <is>
          <t>sales</t>
        </is>
      </c>
      <c r="C32" t="inlineStr">
        <is>
          <t>q2021-2</t>
        </is>
      </c>
      <c r="D32" t="inlineStr">
        <is>
          <t>cum</t>
        </is>
      </c>
      <c r="E32" t="n">
        <v>156</v>
      </c>
      <c r="F32" t="n">
        <v>31</v>
      </c>
      <c r="G32" t="inlineStr"/>
      <c r="H32" t="inlineStr"/>
    </row>
    <row r="33">
      <c r="A33" t="inlineStr">
        <is>
          <t>cieC</t>
        </is>
      </c>
      <c r="B33" t="inlineStr">
        <is>
          <t>sales</t>
        </is>
      </c>
      <c r="C33" t="inlineStr">
        <is>
          <t>q2021-3</t>
        </is>
      </c>
      <c r="D33" t="inlineStr">
        <is>
          <t>cum</t>
        </is>
      </c>
      <c r="E33" t="n">
        <v>195</v>
      </c>
      <c r="F33" t="n">
        <v>39</v>
      </c>
      <c r="G33" t="inlineStr"/>
      <c r="H33" t="inlineStr"/>
    </row>
    <row r="34">
      <c r="A34" t="inlineStr">
        <is>
          <t>cieC</t>
        </is>
      </c>
      <c r="B34" t="inlineStr">
        <is>
          <t>sales</t>
        </is>
      </c>
      <c r="C34" t="inlineStr">
        <is>
          <t>q2021-4</t>
        </is>
      </c>
      <c r="D34" t="inlineStr">
        <is>
          <t>cum</t>
        </is>
      </c>
      <c r="E34" t="n">
        <v>244</v>
      </c>
      <c r="F34" t="n">
        <v>49</v>
      </c>
      <c r="G34" t="n">
        <v>244</v>
      </c>
      <c r="H34" t="n">
        <v>244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entity</t>
        </is>
      </c>
      <c r="B1" t="inlineStr">
        <is>
          <t>concept</t>
        </is>
      </c>
      <c r="C1" t="inlineStr">
        <is>
          <t>pertype</t>
        </is>
      </c>
      <c r="D1" t="inlineStr">
        <is>
          <t>idx_from</t>
        </is>
      </c>
      <c r="E1" t="inlineStr">
        <is>
          <t>idx</t>
        </is>
      </c>
      <c r="F1" t="inlineStr">
        <is>
          <t>period</t>
        </is>
      </c>
    </row>
    <row r="2">
      <c r="A2" t="inlineStr">
        <is>
          <t>cieB</t>
        </is>
      </c>
      <c r="B2" t="inlineStr">
        <is>
          <t>sales</t>
        </is>
      </c>
      <c r="C2" t="inlineStr">
        <is>
          <t>cum</t>
        </is>
      </c>
      <c r="D2" t="inlineStr">
        <is>
          <t>q2019-4</t>
        </is>
      </c>
      <c r="E2" t="inlineStr">
        <is>
          <t>q2020-2</t>
        </is>
      </c>
      <c r="F2" t="inlineStr">
        <is>
          <t>q2020-2</t>
        </is>
      </c>
    </row>
    <row r="3">
      <c r="A3" t="inlineStr">
        <is>
          <t>cieB</t>
        </is>
      </c>
      <c r="B3" t="inlineStr">
        <is>
          <t>sales</t>
        </is>
      </c>
      <c r="C3" t="inlineStr">
        <is>
          <t>cum</t>
        </is>
      </c>
      <c r="D3" t="inlineStr">
        <is>
          <t>q2019-4</t>
        </is>
      </c>
      <c r="E3" t="inlineStr">
        <is>
          <t>q2020-3</t>
        </is>
      </c>
      <c r="F3" t="inlineStr">
        <is>
          <t>q2020-3</t>
        </is>
      </c>
    </row>
    <row r="4">
      <c r="A4" t="inlineStr">
        <is>
          <t>cieB</t>
        </is>
      </c>
      <c r="B4" t="inlineStr">
        <is>
          <t>sales</t>
        </is>
      </c>
      <c r="C4" t="inlineStr">
        <is>
          <t>cum</t>
        </is>
      </c>
      <c r="D4" t="inlineStr">
        <is>
          <t>q2020-1</t>
        </is>
      </c>
      <c r="E4" t="inlineStr">
        <is>
          <t>q2021-1</t>
        </is>
      </c>
      <c r="F4" t="inlineStr">
        <is>
          <t>q2021-1</t>
        </is>
      </c>
    </row>
    <row r="5">
      <c r="A5" t="inlineStr">
        <is>
          <t>cieC</t>
        </is>
      </c>
      <c r="B5" t="inlineStr">
        <is>
          <t>sales</t>
        </is>
      </c>
      <c r="C5" t="inlineStr">
        <is>
          <t>cum</t>
        </is>
      </c>
      <c r="D5" t="inlineStr">
        <is>
          <t>q2019-4</t>
        </is>
      </c>
      <c r="E5" t="inlineStr">
        <is>
          <t>q2020-2</t>
        </is>
      </c>
      <c r="F5" t="inlineStr">
        <is>
          <t>q2020-2</t>
        </is>
      </c>
    </row>
    <row r="6">
      <c r="A6" t="inlineStr">
        <is>
          <t>cieC</t>
        </is>
      </c>
      <c r="B6" t="inlineStr">
        <is>
          <t>sales</t>
        </is>
      </c>
      <c r="C6" t="inlineStr">
        <is>
          <t>cum</t>
        </is>
      </c>
      <c r="D6" t="inlineStr">
        <is>
          <t>q2019-4</t>
        </is>
      </c>
      <c r="E6" t="inlineStr">
        <is>
          <t>q2020-3</t>
        </is>
      </c>
      <c r="F6" t="inlineStr">
        <is>
          <t>q2020-3</t>
        </is>
      </c>
    </row>
    <row r="7">
      <c r="A7" t="inlineStr">
        <is>
          <t>cieC</t>
        </is>
      </c>
      <c r="B7" t="inlineStr">
        <is>
          <t>sales</t>
        </is>
      </c>
      <c r="C7" t="inlineStr">
        <is>
          <t>cum</t>
        </is>
      </c>
      <c r="D7" t="inlineStr">
        <is>
          <t>q2020-1</t>
        </is>
      </c>
      <c r="E7" t="inlineStr">
        <is>
          <t>q2021-1</t>
        </is>
      </c>
      <c r="F7" t="inlineStr">
        <is>
          <t>q2021-1</t>
        </is>
      </c>
    </row>
    <row r="8">
      <c r="A8" t="inlineStr">
        <is>
          <t>cieC</t>
        </is>
      </c>
      <c r="B8" t="inlineStr">
        <is>
          <t>sales</t>
        </is>
      </c>
      <c r="C8" t="inlineStr">
        <is>
          <t>cum</t>
        </is>
      </c>
      <c r="D8" t="inlineStr">
        <is>
          <t>q2020-4</t>
        </is>
      </c>
      <c r="E8" t="inlineStr">
        <is>
          <t>q2021-1</t>
        </is>
      </c>
      <c r="F8" t="inlineStr">
        <is>
          <t>q2021-1</t>
        </is>
      </c>
    </row>
    <row r="9">
      <c r="A9" t="inlineStr">
        <is>
          <t>cieC</t>
        </is>
      </c>
      <c r="B9" t="inlineStr">
        <is>
          <t>sales</t>
        </is>
      </c>
      <c r="C9" t="inlineStr">
        <is>
          <t>cum</t>
        </is>
      </c>
      <c r="D9" t="inlineStr">
        <is>
          <t>q2020-4</t>
        </is>
      </c>
      <c r="E9" t="inlineStr">
        <is>
          <t>q2021-2</t>
        </is>
      </c>
      <c r="F9" t="inlineStr">
        <is>
          <t>q2021-2</t>
        </is>
      </c>
    </row>
    <row r="10">
      <c r="A10" t="inlineStr">
        <is>
          <t>cieC</t>
        </is>
      </c>
      <c r="B10" t="inlineStr">
        <is>
          <t>sales</t>
        </is>
      </c>
      <c r="C10" t="inlineStr">
        <is>
          <t>cum</t>
        </is>
      </c>
      <c r="D10" t="inlineStr">
        <is>
          <t>q2020-4</t>
        </is>
      </c>
      <c r="E10" t="inlineStr">
        <is>
          <t>q2021-3</t>
        </is>
      </c>
      <c r="F10" t="inlineStr">
        <is>
          <t>q2021-3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entity</t>
        </is>
      </c>
      <c r="B1" t="inlineStr">
        <is>
          <t>concept</t>
        </is>
      </c>
      <c r="C1" t="inlineStr">
        <is>
          <t>pertype</t>
        </is>
      </c>
      <c r="D1" t="inlineStr">
        <is>
          <t>period</t>
        </is>
      </c>
    </row>
    <row r="2">
      <c r="A2" t="inlineStr">
        <is>
          <t>cieA</t>
        </is>
      </c>
      <c r="B2" t="inlineStr">
        <is>
          <t>costs</t>
        </is>
      </c>
      <c r="C2" t="inlineStr">
        <is>
          <t>cum</t>
        </is>
      </c>
      <c r="D2" t="inlineStr">
        <is>
          <t>q2022-2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entity</t>
        </is>
      </c>
      <c r="B1" t="inlineStr">
        <is>
          <t>concept</t>
        </is>
      </c>
      <c r="C1" t="inlineStr">
        <is>
          <t>period</t>
        </is>
      </c>
      <c r="D1" t="inlineStr">
        <is>
          <t>pertype</t>
        </is>
      </c>
      <c r="E1" t="inlineStr">
        <is>
          <t>amount</t>
        </is>
      </c>
      <c r="F1" t="inlineStr">
        <is>
          <t>qrtr_target</t>
        </is>
      </c>
      <c r="G1" t="inlineStr">
        <is>
          <t>rolly_target</t>
        </is>
      </c>
      <c r="H1" t="inlineStr">
        <is>
          <t>rolly_amt</t>
        </is>
      </c>
    </row>
    <row r="2">
      <c r="A2" t="inlineStr">
        <is>
          <t>cieA</t>
        </is>
      </c>
      <c r="B2" t="inlineStr">
        <is>
          <t>sales</t>
        </is>
      </c>
      <c r="C2" t="inlineStr">
        <is>
          <t>q2019-4</t>
        </is>
      </c>
      <c r="D2" t="inlineStr">
        <is>
          <t>cum</t>
        </is>
      </c>
      <c r="E2" t="n">
        <v>160</v>
      </c>
      <c r="F2" t="n">
        <v>40</v>
      </c>
      <c r="G2" t="n">
        <v>160</v>
      </c>
      <c r="H2" t="n">
        <v>160</v>
      </c>
    </row>
    <row r="3">
      <c r="A3" t="inlineStr">
        <is>
          <t>cieA</t>
        </is>
      </c>
      <c r="B3" t="inlineStr">
        <is>
          <t>sales</t>
        </is>
      </c>
      <c r="C3" t="inlineStr">
        <is>
          <t>q2020-1</t>
        </is>
      </c>
      <c r="D3" t="inlineStr">
        <is>
          <t>cum</t>
        </is>
      </c>
      <c r="E3" t="n">
        <v>100</v>
      </c>
      <c r="F3" t="n">
        <v>100</v>
      </c>
      <c r="G3" t="n">
        <v>220</v>
      </c>
      <c r="H3" t="n">
        <v>220</v>
      </c>
    </row>
    <row r="4">
      <c r="A4" t="inlineStr">
        <is>
          <t>cieA</t>
        </is>
      </c>
      <c r="B4" t="inlineStr">
        <is>
          <t>sales</t>
        </is>
      </c>
      <c r="C4" t="inlineStr">
        <is>
          <t>q2020-2</t>
        </is>
      </c>
      <c r="D4" t="inlineStr">
        <is>
          <t>cum</t>
        </is>
      </c>
      <c r="E4" t="n">
        <v>125</v>
      </c>
      <c r="F4" t="n">
        <v>25</v>
      </c>
      <c r="G4" t="n">
        <v>205</v>
      </c>
      <c r="H4" t="n">
        <v>205</v>
      </c>
    </row>
    <row r="5">
      <c r="A5" t="inlineStr">
        <is>
          <t>cieA</t>
        </is>
      </c>
      <c r="B5" t="inlineStr">
        <is>
          <t>sales</t>
        </is>
      </c>
      <c r="C5" t="inlineStr">
        <is>
          <t>q2020-3</t>
        </is>
      </c>
      <c r="D5" t="inlineStr">
        <is>
          <t>cum</t>
        </is>
      </c>
      <c r="E5" t="n">
        <v>156</v>
      </c>
      <c r="F5" t="n">
        <v>31</v>
      </c>
      <c r="G5" t="n">
        <v>196</v>
      </c>
      <c r="H5" t="n">
        <v>196</v>
      </c>
    </row>
    <row r="6">
      <c r="A6" t="inlineStr">
        <is>
          <t>cieA</t>
        </is>
      </c>
      <c r="B6" t="inlineStr">
        <is>
          <t>sales</t>
        </is>
      </c>
      <c r="C6" t="inlineStr">
        <is>
          <t>q2020-4</t>
        </is>
      </c>
      <c r="D6" t="inlineStr">
        <is>
          <t>cum</t>
        </is>
      </c>
      <c r="E6" t="n">
        <v>195</v>
      </c>
      <c r="F6" t="n">
        <v>39</v>
      </c>
      <c r="G6" t="n">
        <v>195</v>
      </c>
      <c r="H6" t="n">
        <v>195</v>
      </c>
    </row>
    <row r="7">
      <c r="A7" t="inlineStr">
        <is>
          <t>cieA</t>
        </is>
      </c>
      <c r="B7" t="inlineStr">
        <is>
          <t>sales</t>
        </is>
      </c>
      <c r="C7" t="inlineStr">
        <is>
          <t>q2021-1</t>
        </is>
      </c>
      <c r="D7" t="inlineStr">
        <is>
          <t>cum</t>
        </is>
      </c>
      <c r="E7" t="n">
        <v>125</v>
      </c>
      <c r="F7" t="n">
        <v>125</v>
      </c>
      <c r="G7" t="n">
        <v>220</v>
      </c>
      <c r="H7" t="n">
        <v>220</v>
      </c>
    </row>
    <row r="8">
      <c r="A8" t="inlineStr">
        <is>
          <t>cieA</t>
        </is>
      </c>
      <c r="B8" t="inlineStr">
        <is>
          <t>sales</t>
        </is>
      </c>
      <c r="C8" t="inlineStr">
        <is>
          <t>q2021-2</t>
        </is>
      </c>
      <c r="D8" t="inlineStr">
        <is>
          <t>cum</t>
        </is>
      </c>
      <c r="E8" t="n">
        <v>156</v>
      </c>
      <c r="F8" t="n">
        <v>31</v>
      </c>
      <c r="G8" t="n">
        <v>226</v>
      </c>
      <c r="H8" t="n">
        <v>226</v>
      </c>
    </row>
    <row r="9">
      <c r="A9" t="inlineStr">
        <is>
          <t>cieA</t>
        </is>
      </c>
      <c r="B9" t="inlineStr">
        <is>
          <t>sales</t>
        </is>
      </c>
      <c r="C9" t="inlineStr">
        <is>
          <t>q2021-3</t>
        </is>
      </c>
      <c r="D9" t="inlineStr">
        <is>
          <t>cum</t>
        </is>
      </c>
      <c r="E9" t="n">
        <v>195</v>
      </c>
      <c r="F9" t="n">
        <v>39</v>
      </c>
      <c r="G9" t="n">
        <v>234</v>
      </c>
      <c r="H9" t="n">
        <v>234</v>
      </c>
    </row>
    <row r="10">
      <c r="A10" t="inlineStr">
        <is>
          <t>cieA</t>
        </is>
      </c>
      <c r="B10" t="inlineStr">
        <is>
          <t>sales</t>
        </is>
      </c>
      <c r="C10" t="inlineStr">
        <is>
          <t>q2021-4</t>
        </is>
      </c>
      <c r="D10" t="inlineStr">
        <is>
          <t>cum</t>
        </is>
      </c>
      <c r="E10" t="n">
        <v>244</v>
      </c>
      <c r="F10" t="n">
        <v>49</v>
      </c>
      <c r="G10" t="n">
        <v>244</v>
      </c>
      <c r="H10" t="n">
        <v>244</v>
      </c>
    </row>
    <row r="11">
      <c r="A11" t="inlineStr">
        <is>
          <t>cieA</t>
        </is>
      </c>
      <c r="B11" t="inlineStr">
        <is>
          <t>sales</t>
        </is>
      </c>
      <c r="C11" t="inlineStr">
        <is>
          <t>q2022-1</t>
        </is>
      </c>
      <c r="D11" t="inlineStr">
        <is>
          <t>cum</t>
        </is>
      </c>
      <c r="E11" t="n">
        <v>150</v>
      </c>
      <c r="F11" t="n">
        <v>150</v>
      </c>
      <c r="G11" t="n">
        <v>269</v>
      </c>
      <c r="H11" t="n">
        <v>269</v>
      </c>
    </row>
    <row r="12">
      <c r="A12" t="inlineStr">
        <is>
          <t>cieA</t>
        </is>
      </c>
      <c r="B12" t="inlineStr">
        <is>
          <t>costs</t>
        </is>
      </c>
      <c r="C12" t="inlineStr">
        <is>
          <t>q2019-4</t>
        </is>
      </c>
      <c r="D12" t="inlineStr">
        <is>
          <t>cum</t>
        </is>
      </c>
      <c r="E12" t="n">
        <v>120</v>
      </c>
      <c r="F12" t="n">
        <v>30</v>
      </c>
      <c r="G12" t="n">
        <v>120</v>
      </c>
      <c r="H12" t="n">
        <v>120</v>
      </c>
    </row>
    <row r="13">
      <c r="A13" t="inlineStr">
        <is>
          <t>cieA</t>
        </is>
      </c>
      <c r="B13" t="inlineStr">
        <is>
          <t>costs</t>
        </is>
      </c>
      <c r="C13" t="inlineStr">
        <is>
          <t>q2020-1</t>
        </is>
      </c>
      <c r="D13" t="inlineStr">
        <is>
          <t>cum</t>
        </is>
      </c>
      <c r="E13" t="n">
        <v>70</v>
      </c>
      <c r="F13" t="n">
        <v>70</v>
      </c>
      <c r="G13" t="n">
        <v>160</v>
      </c>
      <c r="H13" t="n">
        <v>160</v>
      </c>
    </row>
    <row r="14">
      <c r="A14" t="inlineStr">
        <is>
          <t>cieA</t>
        </is>
      </c>
      <c r="B14" t="inlineStr">
        <is>
          <t>costs</t>
        </is>
      </c>
      <c r="C14" t="inlineStr">
        <is>
          <t>q2020-2</t>
        </is>
      </c>
      <c r="D14" t="inlineStr">
        <is>
          <t>cum</t>
        </is>
      </c>
      <c r="E14" t="n">
        <v>88</v>
      </c>
      <c r="F14" t="n">
        <v>18</v>
      </c>
      <c r="G14" t="n">
        <v>148</v>
      </c>
      <c r="H14" t="n">
        <v>148</v>
      </c>
    </row>
    <row r="15">
      <c r="A15" t="inlineStr">
        <is>
          <t>cieA</t>
        </is>
      </c>
      <c r="B15" t="inlineStr">
        <is>
          <t>costs</t>
        </is>
      </c>
      <c r="C15" t="inlineStr">
        <is>
          <t>q2020-3</t>
        </is>
      </c>
      <c r="D15" t="inlineStr">
        <is>
          <t>cum</t>
        </is>
      </c>
      <c r="E15" t="n">
        <v>110</v>
      </c>
      <c r="F15" t="n">
        <v>22</v>
      </c>
      <c r="G15" t="n">
        <v>140</v>
      </c>
      <c r="H15" t="n">
        <v>140</v>
      </c>
    </row>
    <row r="16">
      <c r="A16" t="inlineStr">
        <is>
          <t>cieA</t>
        </is>
      </c>
      <c r="B16" t="inlineStr">
        <is>
          <t>costs</t>
        </is>
      </c>
      <c r="C16" t="inlineStr">
        <is>
          <t>q2020-4</t>
        </is>
      </c>
      <c r="D16" t="inlineStr">
        <is>
          <t>cum</t>
        </is>
      </c>
      <c r="E16" t="n">
        <v>138</v>
      </c>
      <c r="F16" t="n">
        <v>28</v>
      </c>
      <c r="G16" t="n">
        <v>138</v>
      </c>
      <c r="H16" t="n">
        <v>138</v>
      </c>
    </row>
    <row r="17">
      <c r="A17" t="inlineStr">
        <is>
          <t>cieA</t>
        </is>
      </c>
      <c r="B17" t="inlineStr">
        <is>
          <t>costs</t>
        </is>
      </c>
      <c r="C17" t="inlineStr">
        <is>
          <t>q2021-1</t>
        </is>
      </c>
      <c r="D17" t="inlineStr">
        <is>
          <t>cum</t>
        </is>
      </c>
      <c r="E17" t="n">
        <v>100</v>
      </c>
      <c r="F17" t="n">
        <v>100</v>
      </c>
      <c r="G17" t="n">
        <v>168</v>
      </c>
      <c r="H17" t="n">
        <v>168</v>
      </c>
    </row>
    <row r="18">
      <c r="A18" t="inlineStr">
        <is>
          <t>cieA</t>
        </is>
      </c>
      <c r="B18" t="inlineStr">
        <is>
          <t>costs</t>
        </is>
      </c>
      <c r="C18" t="inlineStr">
        <is>
          <t>q2021-2</t>
        </is>
      </c>
      <c r="D18" t="inlineStr">
        <is>
          <t>cum</t>
        </is>
      </c>
      <c r="E18" t="n">
        <v>125</v>
      </c>
      <c r="F18" t="n">
        <v>25</v>
      </c>
      <c r="G18" t="n">
        <v>175</v>
      </c>
      <c r="H18" t="n">
        <v>175</v>
      </c>
    </row>
    <row r="19">
      <c r="A19" t="inlineStr">
        <is>
          <t>cieA</t>
        </is>
      </c>
      <c r="B19" t="inlineStr">
        <is>
          <t>costs</t>
        </is>
      </c>
      <c r="C19" t="inlineStr">
        <is>
          <t>q2021-3</t>
        </is>
      </c>
      <c r="D19" t="inlineStr">
        <is>
          <t>cum</t>
        </is>
      </c>
      <c r="E19" t="n">
        <v>156</v>
      </c>
      <c r="F19" t="n">
        <v>31</v>
      </c>
      <c r="G19" t="n">
        <v>184</v>
      </c>
      <c r="H19" t="n">
        <v>184</v>
      </c>
    </row>
    <row r="20">
      <c r="A20" t="inlineStr">
        <is>
          <t>cieA</t>
        </is>
      </c>
      <c r="B20" t="inlineStr">
        <is>
          <t>costs</t>
        </is>
      </c>
      <c r="C20" t="inlineStr">
        <is>
          <t>q2021-4</t>
        </is>
      </c>
      <c r="D20" t="inlineStr">
        <is>
          <t>cum</t>
        </is>
      </c>
      <c r="E20" t="n">
        <v>195</v>
      </c>
      <c r="F20" t="n">
        <v>39</v>
      </c>
      <c r="G20" t="n">
        <v>195</v>
      </c>
      <c r="H20" t="n">
        <v>195</v>
      </c>
    </row>
    <row r="21">
      <c r="A21" t="inlineStr">
        <is>
          <t>cieA</t>
        </is>
      </c>
      <c r="B21" t="inlineStr">
        <is>
          <t>costs</t>
        </is>
      </c>
      <c r="C21" t="inlineStr">
        <is>
          <t>q2022-1</t>
        </is>
      </c>
      <c r="D21" t="inlineStr">
        <is>
          <t>cum</t>
        </is>
      </c>
      <c r="E21" t="n">
        <v>125</v>
      </c>
      <c r="F21" t="n">
        <v>125</v>
      </c>
      <c r="G21" t="n">
        <v>220</v>
      </c>
      <c r="H21" t="n">
        <v>220</v>
      </c>
    </row>
    <row r="22">
      <c r="A22" t="inlineStr">
        <is>
          <t>cieB</t>
        </is>
      </c>
      <c r="B22" t="inlineStr">
        <is>
          <t>sales</t>
        </is>
      </c>
      <c r="C22" t="inlineStr">
        <is>
          <t>q2020-4</t>
        </is>
      </c>
      <c r="D22" t="inlineStr">
        <is>
          <t>cum</t>
        </is>
      </c>
      <c r="E22" t="n">
        <v>195</v>
      </c>
      <c r="F22" t="n">
        <v>39</v>
      </c>
      <c r="G22" t="n">
        <v>195</v>
      </c>
      <c r="H22" t="n">
        <v>195</v>
      </c>
    </row>
    <row r="23">
      <c r="A23" t="inlineStr">
        <is>
          <t>cieB</t>
        </is>
      </c>
      <c r="B23" t="inlineStr">
        <is>
          <t>sales</t>
        </is>
      </c>
      <c r="C23" t="inlineStr">
        <is>
          <t>q2021-2</t>
        </is>
      </c>
      <c r="D23" t="inlineStr">
        <is>
          <t>cum</t>
        </is>
      </c>
      <c r="E23" t="n">
        <v>156</v>
      </c>
      <c r="F23" t="n">
        <v>31</v>
      </c>
      <c r="G23" t="n">
        <v>226</v>
      </c>
      <c r="H23" t="n">
        <v>226</v>
      </c>
    </row>
    <row r="24">
      <c r="A24" t="inlineStr">
        <is>
          <t>cieB</t>
        </is>
      </c>
      <c r="B24" t="inlineStr">
        <is>
          <t>sales</t>
        </is>
      </c>
      <c r="C24" t="inlineStr">
        <is>
          <t>q2021-4</t>
        </is>
      </c>
      <c r="D24" t="inlineStr">
        <is>
          <t>cum</t>
        </is>
      </c>
      <c r="E24" t="n">
        <v>244</v>
      </c>
      <c r="F24" t="inlineStr"/>
      <c r="G24" t="n">
        <v>244</v>
      </c>
      <c r="H24" t="n">
        <v>244</v>
      </c>
    </row>
    <row r="25">
      <c r="A25" t="inlineStr">
        <is>
          <t>cieC</t>
        </is>
      </c>
      <c r="B25" t="inlineStr">
        <is>
          <t>sales</t>
        </is>
      </c>
      <c r="C25" t="inlineStr">
        <is>
          <t>q2021-4</t>
        </is>
      </c>
      <c r="D25" t="inlineStr">
        <is>
          <t>cum</t>
        </is>
      </c>
      <c r="E25" t="n">
        <v>244</v>
      </c>
      <c r="F25" t="n">
        <v>49</v>
      </c>
      <c r="G25" t="n">
        <v>244</v>
      </c>
      <c r="H25" t="n">
        <v>244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Francois Lefebvre</dc:creator>
  <dcterms:created xsi:type="dcterms:W3CDTF">2024-11-25T23:41:00Z</dcterms:created>
  <dcterms:modified xsi:type="dcterms:W3CDTF">2026-02-15T19:58:25Z</dcterms:modified>
  <cp:lastModifiedBy>Francois Lefebvre</cp:lastModifiedBy>
</cp:coreProperties>
</file>