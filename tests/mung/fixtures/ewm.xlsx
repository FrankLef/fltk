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69BF3B0F-BDBE-45D1-96CD-DC539D8AC9E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ta1" sheetId="3" r:id="rId1"/>
  </sheets>
  <calcPr calcId="181029"/>
</workbook>
</file>

<file path=xl/calcChain.xml><?xml version="1.0" encoding="utf-8"?>
<calcChain xmlns="http://schemas.openxmlformats.org/spreadsheetml/2006/main">
  <c r="C32" i="3" l="1"/>
  <c r="C33" i="3" s="1"/>
  <c r="C31" i="3"/>
  <c r="C23" i="3"/>
  <c r="C24" i="3" s="1"/>
  <c r="C25" i="3" s="1"/>
  <c r="C26" i="3" s="1"/>
  <c r="C27" i="3" s="1"/>
  <c r="C28" i="3" s="1"/>
  <c r="C29" i="3" s="1"/>
  <c r="C22" i="3"/>
  <c r="C19" i="3"/>
  <c r="C20" i="3" s="1"/>
  <c r="C18" i="3"/>
  <c r="C17" i="3"/>
  <c r="C16" i="3"/>
  <c r="C15" i="3"/>
  <c r="C14" i="3"/>
  <c r="C13" i="3"/>
  <c r="C11" i="3"/>
  <c r="C10" i="3"/>
  <c r="C9" i="3"/>
  <c r="C7" i="3"/>
  <c r="C6" i="3"/>
  <c r="C5" i="3"/>
  <c r="C4" i="3"/>
  <c r="C30" i="3"/>
  <c r="C21" i="3"/>
  <c r="C12" i="3"/>
  <c r="C8" i="3"/>
  <c r="C3" i="3"/>
  <c r="C2" i="3"/>
  <c r="D31" i="3"/>
  <c r="D32" i="3" s="1"/>
  <c r="D33" i="3" s="1"/>
  <c r="D22" i="3"/>
  <c r="D23" i="3" s="1"/>
  <c r="D24" i="3" s="1"/>
  <c r="D25" i="3" s="1"/>
  <c r="D26" i="3" s="1"/>
  <c r="D27" i="3" s="1"/>
  <c r="D28" i="3" s="1"/>
  <c r="D29" i="3" s="1"/>
  <c r="D13" i="3"/>
  <c r="D14" i="3" s="1"/>
  <c r="D15" i="3" s="1"/>
  <c r="D16" i="3" s="1"/>
  <c r="D17" i="3" s="1"/>
  <c r="D18" i="3" s="1"/>
  <c r="D19" i="3" s="1"/>
  <c r="D20" i="3" s="1"/>
  <c r="D9" i="3"/>
  <c r="D10" i="3" s="1"/>
  <c r="D11" i="3" s="1"/>
  <c r="D6" i="3"/>
  <c r="D7" i="3" s="1"/>
  <c r="D4" i="3"/>
</calcChain>
</file>

<file path=xl/sharedStrings.xml><?xml version="1.0" encoding="utf-8"?>
<sst xmlns="http://schemas.openxmlformats.org/spreadsheetml/2006/main" count="69" uniqueCount="11">
  <si>
    <t>entity</t>
  </si>
  <si>
    <t>cieA</t>
  </si>
  <si>
    <t>cum</t>
  </si>
  <si>
    <t>qrtr</t>
  </si>
  <si>
    <t>cieB</t>
  </si>
  <si>
    <t>period</t>
  </si>
  <si>
    <t>concept</t>
  </si>
  <si>
    <t>Sales</t>
  </si>
  <si>
    <t>DirectLabor</t>
  </si>
  <si>
    <t>MaterialCosts</t>
  </si>
  <si>
    <t>TangibleAssetsNoncash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</si>
</sst>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14" fontId="0" fillId="0" borderId="0" xfId="0" applyNumberFormat="1"/>
    <xf numFmtId="14" fontId="2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workbookViewId="0">
      <selection activeCell="B1" sqref="B1"/>
    </sheetView>
  </sheetViews>
  <sheetFormatPr defaultRowHeight="15" x14ac:dyDescent="0.25"/>
  <cols>
    <col min="2" max="2" width="30.7109375" customWidth="1"/>
    <col min="3" max="3" width="12.7109375" customWidth="1"/>
  </cols>
  <sheetData>
    <row r="1" spans="1:5" x14ac:dyDescent="0.25">
      <c r="A1" s="1" t="s">
        <v>0</v>
      </c>
      <c r="B1" s="1" t="s">
        <v>6</v>
      </c>
      <c r="C1" s="1" t="s">
        <v>5</v>
      </c>
      <c r="D1" s="1" t="s">
        <v>2</v>
      </c>
      <c r="E1" s="1" t="s">
        <v>3</v>
      </c>
    </row>
    <row r="2" spans="1:5" x14ac:dyDescent="0.25">
      <c r="A2" s="2" t="s">
        <v>1</v>
      </c>
      <c r="B2" t="s">
        <v>7</v>
      </c>
      <c r="C2" s="6">
        <f>DATE(2020,1,1)</f>
        <v>43831</v>
      </c>
      <c r="D2" s="4">
        <v>1</v>
      </c>
      <c r="E2" s="4">
        <v>1</v>
      </c>
    </row>
    <row r="3" spans="1:5" x14ac:dyDescent="0.25">
      <c r="A3" s="2" t="s">
        <v>1</v>
      </c>
      <c r="B3" t="s">
        <v>8</v>
      </c>
      <c r="C3" s="5">
        <f>C2</f>
        <v>43831</v>
      </c>
      <c r="D3" s="4">
        <v>1</v>
      </c>
      <c r="E3" s="4">
        <v>1</v>
      </c>
    </row>
    <row r="4" spans="1:5" x14ac:dyDescent="0.25">
      <c r="A4" s="2" t="s">
        <v>1</v>
      </c>
      <c r="B4" t="s">
        <v>8</v>
      </c>
      <c r="C4" s="5">
        <f>C3 + 56</f>
        <v>43887</v>
      </c>
      <c r="D4">
        <f>D3 + E4</f>
        <v>3</v>
      </c>
      <c r="E4" s="4">
        <v>2</v>
      </c>
    </row>
    <row r="5" spans="1:5" x14ac:dyDescent="0.25">
      <c r="A5" s="2" t="s">
        <v>1</v>
      </c>
      <c r="B5" t="s">
        <v>9</v>
      </c>
      <c r="C5" s="5">
        <f>C4+50</f>
        <v>43937</v>
      </c>
      <c r="D5" s="4">
        <v>2</v>
      </c>
      <c r="E5" s="4">
        <v>2</v>
      </c>
    </row>
    <row r="6" spans="1:5" x14ac:dyDescent="0.25">
      <c r="A6" s="2" t="s">
        <v>1</v>
      </c>
      <c r="B6" t="s">
        <v>9</v>
      </c>
      <c r="C6" s="5">
        <f>C5+30</f>
        <v>43967</v>
      </c>
      <c r="D6">
        <f t="shared" ref="D6:D33" si="0">D5 + E6</f>
        <v>3</v>
      </c>
      <c r="E6" s="4">
        <v>1</v>
      </c>
    </row>
    <row r="7" spans="1:5" x14ac:dyDescent="0.25">
      <c r="A7" s="2" t="s">
        <v>1</v>
      </c>
      <c r="B7" t="s">
        <v>9</v>
      </c>
      <c r="C7" s="5">
        <f>C6+23</f>
        <v>43990</v>
      </c>
      <c r="D7">
        <f t="shared" si="0"/>
        <v>6</v>
      </c>
      <c r="E7" s="4">
        <v>3</v>
      </c>
    </row>
    <row r="8" spans="1:5" x14ac:dyDescent="0.25">
      <c r="A8" s="2" t="s">
        <v>1</v>
      </c>
      <c r="B8" t="s">
        <v>10</v>
      </c>
      <c r="C8" s="5">
        <f>C2</f>
        <v>43831</v>
      </c>
      <c r="D8" s="4">
        <v>3</v>
      </c>
      <c r="E8" s="4">
        <v>3</v>
      </c>
    </row>
    <row r="9" spans="1:5" x14ac:dyDescent="0.25">
      <c r="A9" s="2" t="s">
        <v>1</v>
      </c>
      <c r="B9" t="s">
        <v>10</v>
      </c>
      <c r="C9" s="5">
        <f>C8+60</f>
        <v>43891</v>
      </c>
      <c r="D9">
        <f t="shared" si="0"/>
        <v>5</v>
      </c>
      <c r="E9" s="4">
        <v>2</v>
      </c>
    </row>
    <row r="10" spans="1:5" x14ac:dyDescent="0.25">
      <c r="A10" s="2" t="s">
        <v>1</v>
      </c>
      <c r="B10" t="s">
        <v>10</v>
      </c>
      <c r="C10" s="5">
        <f>C9+32</f>
        <v>43923</v>
      </c>
      <c r="D10">
        <f t="shared" si="0"/>
        <v>6</v>
      </c>
      <c r="E10" s="4">
        <v>1</v>
      </c>
    </row>
    <row r="11" spans="1:5" x14ac:dyDescent="0.25">
      <c r="A11" s="2" t="s">
        <v>1</v>
      </c>
      <c r="B11" t="s">
        <v>10</v>
      </c>
      <c r="C11" s="5">
        <f>C10+40</f>
        <v>43963</v>
      </c>
      <c r="D11">
        <f t="shared" si="0"/>
        <v>6</v>
      </c>
      <c r="E11" s="4">
        <v>0</v>
      </c>
    </row>
    <row r="12" spans="1:5" x14ac:dyDescent="0.25">
      <c r="A12" s="3" t="s">
        <v>4</v>
      </c>
      <c r="B12" t="s">
        <v>7</v>
      </c>
      <c r="C12" s="5">
        <f>C2</f>
        <v>43831</v>
      </c>
      <c r="D12" s="4">
        <v>10</v>
      </c>
      <c r="E12" s="4">
        <v>15</v>
      </c>
    </row>
    <row r="13" spans="1:5" x14ac:dyDescent="0.25">
      <c r="A13" s="3" t="s">
        <v>4</v>
      </c>
      <c r="B13" t="s">
        <v>7</v>
      </c>
      <c r="C13" s="5">
        <f>C12+100</f>
        <v>43931</v>
      </c>
      <c r="D13">
        <f t="shared" si="0"/>
        <v>15</v>
      </c>
      <c r="E13" s="4">
        <v>5</v>
      </c>
    </row>
    <row r="14" spans="1:5" x14ac:dyDescent="0.25">
      <c r="A14" s="3" t="s">
        <v>4</v>
      </c>
      <c r="B14" t="s">
        <v>7</v>
      </c>
      <c r="C14" s="5">
        <f>C13+35</f>
        <v>43966</v>
      </c>
      <c r="D14">
        <f t="shared" si="0"/>
        <v>21</v>
      </c>
      <c r="E14" s="4">
        <v>6</v>
      </c>
    </row>
    <row r="15" spans="1:5" x14ac:dyDescent="0.25">
      <c r="A15" s="3" t="s">
        <v>4</v>
      </c>
      <c r="B15" t="s">
        <v>7</v>
      </c>
      <c r="C15" s="5">
        <f>C14+2</f>
        <v>43968</v>
      </c>
      <c r="D15">
        <f t="shared" si="0"/>
        <v>28</v>
      </c>
      <c r="E15" s="4">
        <v>7</v>
      </c>
    </row>
    <row r="16" spans="1:5" x14ac:dyDescent="0.25">
      <c r="A16" s="3" t="s">
        <v>4</v>
      </c>
      <c r="B16" t="s">
        <v>7</v>
      </c>
      <c r="C16" s="5">
        <f>C15+32</f>
        <v>44000</v>
      </c>
      <c r="D16">
        <f t="shared" si="0"/>
        <v>36</v>
      </c>
      <c r="E16" s="4">
        <v>8</v>
      </c>
    </row>
    <row r="17" spans="1:5" x14ac:dyDescent="0.25">
      <c r="A17" s="3" t="s">
        <v>4</v>
      </c>
      <c r="B17" t="s">
        <v>7</v>
      </c>
      <c r="C17" s="5">
        <f>C16+35</f>
        <v>44035</v>
      </c>
      <c r="D17">
        <f t="shared" si="0"/>
        <v>37</v>
      </c>
      <c r="E17" s="4">
        <v>1</v>
      </c>
    </row>
    <row r="18" spans="1:5" x14ac:dyDescent="0.25">
      <c r="A18" s="3" t="s">
        <v>4</v>
      </c>
      <c r="B18" t="s">
        <v>7</v>
      </c>
      <c r="C18" s="5">
        <f t="shared" ref="C18:C20" si="1">C17+35</f>
        <v>44070</v>
      </c>
      <c r="D18">
        <f t="shared" si="0"/>
        <v>39</v>
      </c>
      <c r="E18" s="4">
        <v>2</v>
      </c>
    </row>
    <row r="19" spans="1:5" x14ac:dyDescent="0.25">
      <c r="A19" s="3" t="s">
        <v>4</v>
      </c>
      <c r="B19" t="s">
        <v>7</v>
      </c>
      <c r="C19" s="5">
        <f t="shared" si="1"/>
        <v>44105</v>
      </c>
      <c r="D19">
        <f t="shared" si="0"/>
        <v>39</v>
      </c>
      <c r="E19" s="4">
        <v>0</v>
      </c>
    </row>
    <row r="20" spans="1:5" x14ac:dyDescent="0.25">
      <c r="A20" s="3" t="s">
        <v>4</v>
      </c>
      <c r="B20" t="s">
        <v>7</v>
      </c>
      <c r="C20" s="5">
        <f t="shared" si="1"/>
        <v>44140</v>
      </c>
      <c r="D20">
        <f t="shared" si="0"/>
        <v>54</v>
      </c>
      <c r="E20" s="4">
        <v>15</v>
      </c>
    </row>
    <row r="21" spans="1:5" x14ac:dyDescent="0.25">
      <c r="A21" s="3" t="s">
        <v>4</v>
      </c>
      <c r="B21" t="s">
        <v>8</v>
      </c>
      <c r="C21" s="5">
        <f>C2</f>
        <v>43831</v>
      </c>
      <c r="D21" s="4">
        <v>20</v>
      </c>
      <c r="E21" s="4">
        <v>10</v>
      </c>
    </row>
    <row r="22" spans="1:5" x14ac:dyDescent="0.25">
      <c r="A22" s="3" t="s">
        <v>4</v>
      </c>
      <c r="B22" t="s">
        <v>8</v>
      </c>
      <c r="C22" s="5">
        <f>C21+40</f>
        <v>43871</v>
      </c>
      <c r="D22">
        <f t="shared" si="0"/>
        <v>25</v>
      </c>
      <c r="E22" s="4">
        <v>5</v>
      </c>
    </row>
    <row r="23" spans="1:5" x14ac:dyDescent="0.25">
      <c r="A23" s="3" t="s">
        <v>4</v>
      </c>
      <c r="B23" t="s">
        <v>8</v>
      </c>
      <c r="C23" s="5">
        <f t="shared" ref="C23:C29" si="2">C22+40</f>
        <v>43911</v>
      </c>
      <c r="D23">
        <f t="shared" si="0"/>
        <v>26</v>
      </c>
      <c r="E23" s="4">
        <v>1</v>
      </c>
    </row>
    <row r="24" spans="1:5" x14ac:dyDescent="0.25">
      <c r="A24" s="3" t="s">
        <v>4</v>
      </c>
      <c r="B24" t="s">
        <v>8</v>
      </c>
      <c r="C24" s="5">
        <f t="shared" si="2"/>
        <v>43951</v>
      </c>
      <c r="D24">
        <f t="shared" si="0"/>
        <v>28</v>
      </c>
      <c r="E24" s="4">
        <v>2</v>
      </c>
    </row>
    <row r="25" spans="1:5" x14ac:dyDescent="0.25">
      <c r="A25" s="3" t="s">
        <v>4</v>
      </c>
      <c r="B25" t="s">
        <v>8</v>
      </c>
      <c r="C25" s="5">
        <f t="shared" si="2"/>
        <v>43991</v>
      </c>
      <c r="D25">
        <f t="shared" si="0"/>
        <v>68</v>
      </c>
      <c r="E25" s="4">
        <v>40</v>
      </c>
    </row>
    <row r="26" spans="1:5" x14ac:dyDescent="0.25">
      <c r="A26" s="3" t="s">
        <v>4</v>
      </c>
      <c r="B26" t="s">
        <v>8</v>
      </c>
      <c r="C26" s="5">
        <f t="shared" si="2"/>
        <v>44031</v>
      </c>
      <c r="D26">
        <f t="shared" si="0"/>
        <v>74</v>
      </c>
      <c r="E26" s="4">
        <v>6</v>
      </c>
    </row>
    <row r="27" spans="1:5" x14ac:dyDescent="0.25">
      <c r="A27" s="3" t="s">
        <v>4</v>
      </c>
      <c r="B27" t="s">
        <v>8</v>
      </c>
      <c r="C27" s="5">
        <f t="shared" si="2"/>
        <v>44071</v>
      </c>
      <c r="D27">
        <f t="shared" si="0"/>
        <v>81</v>
      </c>
      <c r="E27" s="4">
        <v>7</v>
      </c>
    </row>
    <row r="28" spans="1:5" x14ac:dyDescent="0.25">
      <c r="A28" s="3" t="s">
        <v>4</v>
      </c>
      <c r="B28" t="s">
        <v>8</v>
      </c>
      <c r="C28" s="5">
        <f t="shared" si="2"/>
        <v>44111</v>
      </c>
      <c r="D28">
        <f t="shared" si="0"/>
        <v>89</v>
      </c>
      <c r="E28" s="4">
        <v>8</v>
      </c>
    </row>
    <row r="29" spans="1:5" x14ac:dyDescent="0.25">
      <c r="A29" s="3" t="s">
        <v>4</v>
      </c>
      <c r="B29" t="s">
        <v>8</v>
      </c>
      <c r="C29" s="5">
        <f t="shared" si="2"/>
        <v>44151</v>
      </c>
      <c r="D29">
        <f t="shared" si="0"/>
        <v>89</v>
      </c>
      <c r="E29" s="4">
        <v>0</v>
      </c>
    </row>
    <row r="30" spans="1:5" x14ac:dyDescent="0.25">
      <c r="A30" s="3" t="s">
        <v>4</v>
      </c>
      <c r="B30" t="s">
        <v>9</v>
      </c>
      <c r="C30" s="5">
        <f>C2</f>
        <v>43831</v>
      </c>
      <c r="D30" s="4">
        <v>100</v>
      </c>
      <c r="E30" s="4">
        <v>0</v>
      </c>
    </row>
    <row r="31" spans="1:5" x14ac:dyDescent="0.25">
      <c r="A31" s="3" t="s">
        <v>4</v>
      </c>
      <c r="B31" t="s">
        <v>9</v>
      </c>
      <c r="C31" s="5">
        <f>C30+1</f>
        <v>43832</v>
      </c>
      <c r="D31">
        <f t="shared" si="0"/>
        <v>90</v>
      </c>
      <c r="E31" s="4">
        <v>-10</v>
      </c>
    </row>
    <row r="32" spans="1:5" x14ac:dyDescent="0.25">
      <c r="A32" s="3" t="s">
        <v>4</v>
      </c>
      <c r="B32" t="s">
        <v>9</v>
      </c>
      <c r="C32" s="5">
        <f t="shared" ref="C32:C33" si="3">C31+1</f>
        <v>43833</v>
      </c>
      <c r="D32">
        <f t="shared" si="0"/>
        <v>70</v>
      </c>
      <c r="E32" s="4">
        <v>-20</v>
      </c>
    </row>
    <row r="33" spans="1:5" x14ac:dyDescent="0.25">
      <c r="A33" s="3" t="s">
        <v>4</v>
      </c>
      <c r="B33" t="s">
        <v>9</v>
      </c>
      <c r="C33" s="5">
        <f t="shared" si="3"/>
        <v>43834</v>
      </c>
      <c r="D33">
        <f t="shared" si="0"/>
        <v>40</v>
      </c>
      <c r="E33" s="4">
        <v>-30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2026-05-13T22:27:07Z</dcterms:created>
  <dcterms:modified xsi:type="dcterms:W3CDTF">2026-05-24T22:19:29Z</dcterms:modified>
</cp:coreProperties>
</file>