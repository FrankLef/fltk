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C560B14D-D045-4165-9DC1-73F6B5CCD1E5}" xr6:coauthVersionLast="47" xr6:coauthVersionMax="47" xr10:uidLastSave="{00000000-0000-0000-0000-000000000000}"/>
  <bookViews>
    <workbookView xWindow="4110" yWindow="3120" windowWidth="28800" windowHeight="11295" activeTab="3" xr2:uid="{00000000-000D-0000-FFFF-FFFF00000000}"/>
  </bookViews>
  <sheets>
    <sheet name="data1" sheetId="1" r:id="rId1"/>
    <sheet name="qrtr" sheetId="2" r:id="rId2"/>
    <sheet name="rolly" sheetId="3" r:id="rId3"/>
    <sheet name="data2" sheetId="4" r:id="rId4"/>
    <sheet name="concepts_adds" sheetId="5" r:id="rId5"/>
  </sheets>
  <calcPr calcId="181029"/>
</workbook>
</file>

<file path=xl/calcChain.xml><?xml version="1.0" encoding="utf-8"?>
<calcChain xmlns="http://schemas.openxmlformats.org/spreadsheetml/2006/main">
  <c r="F23" i="4" l="1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33" i="1" l="1"/>
  <c r="G32" i="1"/>
  <c r="G31" i="1"/>
  <c r="F31" i="1"/>
  <c r="E31" i="1"/>
  <c r="G30" i="1"/>
  <c r="E30" i="1"/>
  <c r="F30" i="1" s="1"/>
  <c r="G29" i="1"/>
  <c r="F29" i="1"/>
  <c r="E29" i="1"/>
  <c r="F28" i="1"/>
  <c r="G26" i="1"/>
  <c r="E26" i="1"/>
  <c r="F26" i="1" s="1"/>
  <c r="G24" i="1"/>
  <c r="G23" i="1"/>
  <c r="F23" i="1"/>
  <c r="G22" i="1"/>
  <c r="F22" i="1"/>
  <c r="E22" i="1"/>
  <c r="F21" i="1"/>
  <c r="E19" i="1"/>
  <c r="E20" i="1" s="1"/>
  <c r="E18" i="1"/>
  <c r="F18" i="1" s="1"/>
  <c r="F17" i="1"/>
  <c r="G14" i="1"/>
  <c r="E14" i="1"/>
  <c r="F14" i="1" s="1"/>
  <c r="G13" i="1"/>
  <c r="F13" i="1"/>
  <c r="E12" i="1"/>
  <c r="F11" i="1"/>
  <c r="E8" i="1"/>
  <c r="F8" i="1" s="1"/>
  <c r="F7" i="1"/>
  <c r="G5" i="1"/>
  <c r="E5" i="1"/>
  <c r="F5" i="1" s="1"/>
  <c r="G4" i="1"/>
  <c r="F4" i="1"/>
  <c r="E4" i="1"/>
  <c r="E23" i="1" s="1"/>
  <c r="F3" i="1"/>
  <c r="G2" i="1"/>
  <c r="E2" i="1"/>
  <c r="F2" i="1" s="1"/>
  <c r="G21" i="1" l="1"/>
  <c r="G20" i="1"/>
  <c r="F20" i="1"/>
  <c r="E6" i="1"/>
  <c r="E9" i="1"/>
  <c r="E15" i="1"/>
  <c r="G3" i="1"/>
  <c r="F12" i="1"/>
  <c r="E24" i="1"/>
  <c r="F24" i="1" s="1"/>
  <c r="E32" i="1"/>
  <c r="F32" i="1" s="1"/>
  <c r="G12" i="1"/>
  <c r="E27" i="1"/>
  <c r="F27" i="1" s="1"/>
  <c r="F19" i="1"/>
  <c r="F15" i="1" l="1"/>
  <c r="E16" i="1"/>
  <c r="E25" i="1"/>
  <c r="G6" i="1"/>
  <c r="F6" i="1"/>
  <c r="G8" i="1"/>
  <c r="G7" i="1"/>
  <c r="G15" i="1"/>
  <c r="E33" i="1"/>
  <c r="F33" i="1" s="1"/>
  <c r="F9" i="1"/>
  <c r="E10" i="1"/>
  <c r="G9" i="1"/>
  <c r="E34" i="1" l="1"/>
  <c r="E28" i="1"/>
  <c r="G28" i="1" s="1"/>
  <c r="G10" i="1"/>
  <c r="G11" i="1"/>
  <c r="F10" i="1"/>
  <c r="G25" i="1"/>
  <c r="F25" i="1"/>
  <c r="G27" i="1"/>
  <c r="G16" i="1"/>
  <c r="F16" i="1"/>
  <c r="G17" i="1"/>
  <c r="G18" i="1"/>
  <c r="G19" i="1"/>
  <c r="G34" i="1" l="1"/>
  <c r="F34" i="1"/>
</calcChain>
</file>

<file path=xl/sharedStrings.xml><?xml version="1.0" encoding="utf-8"?>
<sst xmlns="http://schemas.openxmlformats.org/spreadsheetml/2006/main" count="357" uniqueCount="56">
  <si>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</si>
  <si>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</si>
  <si>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</si>
  <si>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</si>
  <si>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</si>
  <si>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</si>
  <si>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</si>
  <si>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</si>
  <si>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</si>
  <si>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</si>
  <si>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</si>
  <si>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</si>
  <si>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</si>
  <si>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</si>
  <si>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</si>
  <si>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</si>
  <si>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</si>
  <si>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</si>
  <si>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</si>
  <si>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</si>
  <si>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</si>
  <si>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</si>
  <si>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</si>
  <si>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</si>
  <si>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</si>
  <si>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EBITDA</t>
  </si>
  <si>
    <t>TangibleAssetsNoncash</t>
  </si>
  <si>
    <t>qrtr</t>
  </si>
  <si>
    <t>concept_add</t>
  </si>
  <si>
    <t>concept_from</t>
  </si>
  <si>
    <t>fstype</t>
  </si>
  <si>
    <t>coef</t>
  </si>
  <si>
    <t>AssetsNongoodwillNoncash</t>
  </si>
  <si>
    <t>Assets</t>
  </si>
  <si>
    <t>bs</t>
  </si>
  <si>
    <t>DebtBearingInterest</t>
  </si>
  <si>
    <t>BankOverDrafts</t>
  </si>
  <si>
    <t>DebtBearingInterestEquity</t>
  </si>
  <si>
    <t>DebtBearingInterestShares</t>
  </si>
  <si>
    <t>Cash</t>
  </si>
  <si>
    <t>CashAndCashEquivalents</t>
  </si>
  <si>
    <t>Equity</t>
  </si>
  <si>
    <t>Goodwill</t>
  </si>
  <si>
    <t>IntangibleAssetsNetExcludingGoodwill</t>
  </si>
  <si>
    <t>LongTermDebtAndLeaseObligations</t>
  </si>
  <si>
    <t>LongTermDebtAndLeaseObligationsCurrent</t>
  </si>
  <si>
    <t>ShareCapital</t>
  </si>
  <si>
    <t>FixedCosts</t>
  </si>
  <si>
    <t>AdministrationActivities</t>
  </si>
  <si>
    <t>is</t>
  </si>
  <si>
    <t>EbitdaExclUnusalAndExtraordinary</t>
  </si>
  <si>
    <t>FixedProduction</t>
  </si>
  <si>
    <t>OperatingActivities</t>
  </si>
  <si>
    <t>SellingActivities</t>
  </si>
  <si>
    <t>UnusualGainsLosses</t>
  </si>
  <si>
    <t>concept_total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</si>
</sst>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  <xf numFmtId="0" fontId="0" fillId="7" borderId="0" xfId="0" applyFill="1"/>
    <xf numFmtId="0" fontId="2" fillId="7" borderId="1" xfId="1" applyFont="1" applyFill="1" applyBorder="1" applyAlignment="1">
      <alignment wrapText="1"/>
    </xf>
    <xf numFmtId="0" fontId="2" fillId="7" borderId="0" xfId="1" applyFont="1" applyFill="1" applyAlignment="1">
      <alignment wrapText="1"/>
    </xf>
    <xf numFmtId="0" fontId="3" fillId="8" borderId="0" xfId="0" applyFont="1" applyFill="1"/>
    <xf numFmtId="0" fontId="2" fillId="9" borderId="1" xfId="1" applyFont="1" applyFill="1" applyBorder="1" applyAlignment="1">
      <alignment wrapText="1"/>
    </xf>
    <xf numFmtId="0" fontId="2" fillId="8" borderId="1" xfId="1" applyFont="1" applyFill="1" applyBorder="1" applyAlignment="1">
      <alignment wrapText="1"/>
    </xf>
    <xf numFmtId="0" fontId="0" fillId="10" borderId="0" xfId="0" applyFill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EFAE3-F87F-4064-85C3-9BBC1CE4994A}" name="concepts_adds" displayName="concepts_adds" ref="A1:D27" totalsRowShown="0">
  <autoFilter ref="A1:D27" xr:uid="{5D7EFAE3-F87F-4064-85C3-9BBC1CE4994A}"/>
  <tableColumns count="4">
    <tableColumn id="1" xr3:uid="{412D6112-857C-4CBE-9800-D1870FF2BA72}" name="concept_add"/>
    <tableColumn id="2" xr3:uid="{FC770A68-4966-4AB5-A624-4B95C294D977}" name="concept_from"/>
    <tableColumn id="3" xr3:uid="{B535511B-AC74-4091-831D-AC01DFEF237A}" name="fstype"/>
    <tableColumn id="4" xr3:uid="{2402D9C5-6A76-4662-BBF4-381D73B61B32}" name="co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C1" sqref="C1"/>
    </sheetView>
  </sheetViews>
  <sheetFormatPr defaultRowHeight="15" x14ac:dyDescent="0.25"/>
  <cols>
    <col min="6" max="7" width="10.7109375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5">
      <c r="A2" s="4" t="s">
        <v>7</v>
      </c>
      <c r="B2" t="s">
        <v>8</v>
      </c>
      <c r="C2" s="1" t="s">
        <v>9</v>
      </c>
      <c r="D2" s="7" t="s">
        <v>10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4" t="s">
        <v>7</v>
      </c>
      <c r="B3" t="s">
        <v>8</v>
      </c>
      <c r="C3" s="1" t="s">
        <v>11</v>
      </c>
      <c r="D3" s="7" t="s">
        <v>10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4" t="s">
        <v>7</v>
      </c>
      <c r="B4" t="s">
        <v>8</v>
      </c>
      <c r="C4" s="1" t="s">
        <v>12</v>
      </c>
      <c r="D4" s="7" t="s">
        <v>10</v>
      </c>
      <c r="E4">
        <f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4" t="s">
        <v>7</v>
      </c>
      <c r="B5" t="s">
        <v>8</v>
      </c>
      <c r="C5" s="1" t="s">
        <v>13</v>
      </c>
      <c r="D5" s="7" t="s">
        <v>10</v>
      </c>
      <c r="E5">
        <f>ROUND(E4 * 1.25, 0)</f>
        <v>156</v>
      </c>
      <c r="F5">
        <f>E5 - E4</f>
        <v>31</v>
      </c>
      <c r="G5">
        <f>0.25 * E2 + E5</f>
        <v>196</v>
      </c>
    </row>
    <row r="6" spans="1:7" x14ac:dyDescent="0.25">
      <c r="A6" s="4" t="s">
        <v>7</v>
      </c>
      <c r="B6" t="s">
        <v>8</v>
      </c>
      <c r="C6" s="1" t="s">
        <v>14</v>
      </c>
      <c r="D6" s="7" t="s">
        <v>10</v>
      </c>
      <c r="E6">
        <f>ROUND(E5 * 1.25, 0)</f>
        <v>195</v>
      </c>
      <c r="F6">
        <f>E6 - E5</f>
        <v>39</v>
      </c>
      <c r="G6">
        <f>E6</f>
        <v>195</v>
      </c>
    </row>
    <row r="7" spans="1:7" x14ac:dyDescent="0.25">
      <c r="A7" s="4" t="s">
        <v>7</v>
      </c>
      <c r="B7" t="s">
        <v>8</v>
      </c>
      <c r="C7" s="1" t="s">
        <v>15</v>
      </c>
      <c r="D7" s="7" t="s">
        <v>10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4" t="s">
        <v>7</v>
      </c>
      <c r="B8" t="s">
        <v>8</v>
      </c>
      <c r="C8" s="1" t="s">
        <v>16</v>
      </c>
      <c r="D8" s="7" t="s">
        <v>10</v>
      </c>
      <c r="E8">
        <f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4" t="s">
        <v>7</v>
      </c>
      <c r="B9" t="s">
        <v>8</v>
      </c>
      <c r="C9" s="1" t="s">
        <v>17</v>
      </c>
      <c r="D9" s="7" t="s">
        <v>10</v>
      </c>
      <c r="E9">
        <f>ROUND(E8 * 1.25, 0)</f>
        <v>195</v>
      </c>
      <c r="F9">
        <f>E9 - E8</f>
        <v>39</v>
      </c>
      <c r="G9">
        <f>-E5 + E6 + E9</f>
        <v>234</v>
      </c>
    </row>
    <row r="10" spans="1:7" x14ac:dyDescent="0.25">
      <c r="A10" s="4" t="s">
        <v>7</v>
      </c>
      <c r="B10" t="s">
        <v>8</v>
      </c>
      <c r="C10" s="1" t="s">
        <v>18</v>
      </c>
      <c r="D10" s="7" t="s">
        <v>10</v>
      </c>
      <c r="E10">
        <f>ROUND(E9 * 1.25, 0)</f>
        <v>244</v>
      </c>
      <c r="F10">
        <f>E10 - E9</f>
        <v>49</v>
      </c>
      <c r="G10">
        <f>E10</f>
        <v>244</v>
      </c>
    </row>
    <row r="11" spans="1:7" x14ac:dyDescent="0.25">
      <c r="A11" s="4" t="s">
        <v>7</v>
      </c>
      <c r="B11" t="s">
        <v>8</v>
      </c>
      <c r="C11" s="1" t="s">
        <v>19</v>
      </c>
      <c r="D11" s="7" t="s">
        <v>10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4" t="s">
        <v>7</v>
      </c>
      <c r="B12" t="s">
        <v>20</v>
      </c>
      <c r="C12" s="1" t="s">
        <v>9</v>
      </c>
      <c r="D12" s="7" t="s">
        <v>10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4" t="s">
        <v>7</v>
      </c>
      <c r="B13" t="s">
        <v>20</v>
      </c>
      <c r="C13" s="1" t="s">
        <v>11</v>
      </c>
      <c r="D13" s="7" t="s">
        <v>10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4" t="s">
        <v>7</v>
      </c>
      <c r="B14" t="s">
        <v>20</v>
      </c>
      <c r="C14" s="1" t="s">
        <v>12</v>
      </c>
      <c r="D14" s="7" t="s">
        <v>10</v>
      </c>
      <c r="E14">
        <f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4" t="s">
        <v>7</v>
      </c>
      <c r="B15" t="s">
        <v>20</v>
      </c>
      <c r="C15" s="1" t="s">
        <v>13</v>
      </c>
      <c r="D15" s="7" t="s">
        <v>10</v>
      </c>
      <c r="E15">
        <f>ROUND(E14 * 1.25, 0)</f>
        <v>110</v>
      </c>
      <c r="F15">
        <f>E15 - E14</f>
        <v>22</v>
      </c>
      <c r="G15">
        <f>0.25 * E12 + E15</f>
        <v>140</v>
      </c>
    </row>
    <row r="16" spans="1:7" x14ac:dyDescent="0.25">
      <c r="A16" s="4" t="s">
        <v>7</v>
      </c>
      <c r="B16" t="s">
        <v>20</v>
      </c>
      <c r="C16" s="1" t="s">
        <v>14</v>
      </c>
      <c r="D16" s="7" t="s">
        <v>10</v>
      </c>
      <c r="E16">
        <f>ROUND(E15 * 1.25, 0)</f>
        <v>138</v>
      </c>
      <c r="F16">
        <f>E16 - E15</f>
        <v>28</v>
      </c>
      <c r="G16">
        <f>E16</f>
        <v>138</v>
      </c>
    </row>
    <row r="17" spans="1:7" x14ac:dyDescent="0.25">
      <c r="A17" s="4" t="s">
        <v>7</v>
      </c>
      <c r="B17" t="s">
        <v>20</v>
      </c>
      <c r="C17" s="1" t="s">
        <v>15</v>
      </c>
      <c r="D17" s="7" t="s">
        <v>10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4" t="s">
        <v>7</v>
      </c>
      <c r="B18" t="s">
        <v>20</v>
      </c>
      <c r="C18" s="1" t="s">
        <v>16</v>
      </c>
      <c r="D18" s="7" t="s">
        <v>10</v>
      </c>
      <c r="E18">
        <f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4" t="s">
        <v>7</v>
      </c>
      <c r="B19" t="s">
        <v>20</v>
      </c>
      <c r="C19" s="1" t="s">
        <v>17</v>
      </c>
      <c r="D19" s="7" t="s">
        <v>10</v>
      </c>
      <c r="E19">
        <f>ROUND(E18 * 1.25, 0)</f>
        <v>156</v>
      </c>
      <c r="F19">
        <f>E19 - E18</f>
        <v>31</v>
      </c>
      <c r="G19">
        <f>-E15 + E16 + E19</f>
        <v>184</v>
      </c>
    </row>
    <row r="20" spans="1:7" x14ac:dyDescent="0.25">
      <c r="A20" s="4" t="s">
        <v>7</v>
      </c>
      <c r="B20" t="s">
        <v>20</v>
      </c>
      <c r="C20" s="1" t="s">
        <v>18</v>
      </c>
      <c r="D20" s="7" t="s">
        <v>10</v>
      </c>
      <c r="E20">
        <f>ROUND(E19 * 1.25, 0)</f>
        <v>195</v>
      </c>
      <c r="F20">
        <f>E20 - E19</f>
        <v>39</v>
      </c>
      <c r="G20">
        <f>E20</f>
        <v>195</v>
      </c>
    </row>
    <row r="21" spans="1:7" x14ac:dyDescent="0.25">
      <c r="A21" s="4" t="s">
        <v>7</v>
      </c>
      <c r="B21" t="s">
        <v>20</v>
      </c>
      <c r="C21" s="1" t="s">
        <v>19</v>
      </c>
      <c r="D21" s="7" t="s">
        <v>10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4" t="s">
        <v>7</v>
      </c>
      <c r="B22" s="8" t="s">
        <v>20</v>
      </c>
      <c r="C22" s="9" t="s">
        <v>21</v>
      </c>
      <c r="D22" s="10" t="s">
        <v>10</v>
      </c>
      <c r="E22" s="8">
        <f>ROUND(E21 * 1.25, 0)</f>
        <v>156</v>
      </c>
      <c r="F22" s="8" t="e">
        <f>NA()</f>
        <v>#N/A</v>
      </c>
      <c r="G22" s="8" t="e">
        <f>NA()</f>
        <v>#N/A</v>
      </c>
    </row>
    <row r="23" spans="1:7" x14ac:dyDescent="0.25">
      <c r="A23" s="5" t="s">
        <v>22</v>
      </c>
      <c r="B23" t="s">
        <v>8</v>
      </c>
      <c r="C23" s="1" t="s">
        <v>12</v>
      </c>
      <c r="D23" s="7" t="s">
        <v>10</v>
      </c>
      <c r="E23">
        <f>E4</f>
        <v>125</v>
      </c>
      <c r="F23" t="e">
        <f>NA()</f>
        <v>#N/A</v>
      </c>
      <c r="G23" t="e">
        <f>NA()</f>
        <v>#N/A</v>
      </c>
    </row>
    <row r="24" spans="1:7" x14ac:dyDescent="0.25">
      <c r="A24" s="5" t="s">
        <v>22</v>
      </c>
      <c r="B24" t="s">
        <v>8</v>
      </c>
      <c r="C24" s="1" t="s">
        <v>13</v>
      </c>
      <c r="D24" s="7" t="s">
        <v>10</v>
      </c>
      <c r="E24">
        <f>E5</f>
        <v>156</v>
      </c>
      <c r="F24">
        <f>E24 - E23</f>
        <v>31</v>
      </c>
      <c r="G24" t="e">
        <f>NA()</f>
        <v>#N/A</v>
      </c>
    </row>
    <row r="25" spans="1:7" x14ac:dyDescent="0.25">
      <c r="A25" s="5" t="s">
        <v>22</v>
      </c>
      <c r="B25" t="s">
        <v>8</v>
      </c>
      <c r="C25" s="1" t="s">
        <v>14</v>
      </c>
      <c r="D25" s="7" t="s">
        <v>10</v>
      </c>
      <c r="E25">
        <f>E6</f>
        <v>195</v>
      </c>
      <c r="F25">
        <f>E25 - E24</f>
        <v>39</v>
      </c>
      <c r="G25">
        <f>E25</f>
        <v>195</v>
      </c>
    </row>
    <row r="26" spans="1:7" x14ac:dyDescent="0.25">
      <c r="A26" s="5" t="s">
        <v>22</v>
      </c>
      <c r="B26" t="s">
        <v>8</v>
      </c>
      <c r="C26" s="1" t="s">
        <v>15</v>
      </c>
      <c r="D26" s="7" t="s">
        <v>10</v>
      </c>
      <c r="E26">
        <f>E7</f>
        <v>125</v>
      </c>
      <c r="F26">
        <f>E26</f>
        <v>125</v>
      </c>
      <c r="G26" t="e">
        <f>NA()</f>
        <v>#N/A</v>
      </c>
    </row>
    <row r="27" spans="1:7" x14ac:dyDescent="0.25">
      <c r="A27" s="5" t="s">
        <v>22</v>
      </c>
      <c r="B27" t="s">
        <v>8</v>
      </c>
      <c r="C27" s="1" t="s">
        <v>16</v>
      </c>
      <c r="D27" s="7" t="s">
        <v>10</v>
      </c>
      <c r="E27">
        <f>E8</f>
        <v>156</v>
      </c>
      <c r="F27">
        <f>E27 - E26</f>
        <v>31</v>
      </c>
      <c r="G27">
        <f>-E23 + E25 + E27</f>
        <v>226</v>
      </c>
    </row>
    <row r="28" spans="1:7" x14ac:dyDescent="0.25">
      <c r="A28" s="5" t="s">
        <v>22</v>
      </c>
      <c r="B28" t="s">
        <v>8</v>
      </c>
      <c r="C28" s="1" t="s">
        <v>18</v>
      </c>
      <c r="D28" s="7" t="s">
        <v>10</v>
      </c>
      <c r="E28">
        <f>E10</f>
        <v>244</v>
      </c>
      <c r="F28" t="e">
        <f>NA()</f>
        <v>#N/A</v>
      </c>
      <c r="G28">
        <f>E28</f>
        <v>244</v>
      </c>
    </row>
    <row r="29" spans="1:7" x14ac:dyDescent="0.25">
      <c r="A29" s="6" t="s">
        <v>23</v>
      </c>
      <c r="B29" t="s">
        <v>8</v>
      </c>
      <c r="C29" s="1" t="s">
        <v>12</v>
      </c>
      <c r="D29" s="7" t="s">
        <v>10</v>
      </c>
      <c r="E29">
        <f>E4</f>
        <v>125</v>
      </c>
      <c r="F29" t="e">
        <f>NA()</f>
        <v>#N/A</v>
      </c>
      <c r="G29" t="e">
        <f>NA()</f>
        <v>#N/A</v>
      </c>
    </row>
    <row r="30" spans="1:7" x14ac:dyDescent="0.25">
      <c r="A30" s="6" t="s">
        <v>23</v>
      </c>
      <c r="B30" t="s">
        <v>8</v>
      </c>
      <c r="C30" s="1" t="s">
        <v>13</v>
      </c>
      <c r="D30" s="7" t="s">
        <v>10</v>
      </c>
      <c r="E30">
        <f>E5</f>
        <v>156</v>
      </c>
      <c r="F30">
        <f>E30 - E29</f>
        <v>31</v>
      </c>
      <c r="G30" t="e">
        <f>NA()</f>
        <v>#N/A</v>
      </c>
    </row>
    <row r="31" spans="1:7" x14ac:dyDescent="0.25">
      <c r="A31" s="6" t="s">
        <v>23</v>
      </c>
      <c r="B31" t="s">
        <v>8</v>
      </c>
      <c r="C31" s="1" t="s">
        <v>15</v>
      </c>
      <c r="D31" s="7" t="s">
        <v>10</v>
      </c>
      <c r="E31">
        <f>E7</f>
        <v>125</v>
      </c>
      <c r="F31">
        <f>E31</f>
        <v>125</v>
      </c>
      <c r="G31" t="e">
        <f>NA()</f>
        <v>#N/A</v>
      </c>
    </row>
    <row r="32" spans="1:7" x14ac:dyDescent="0.25">
      <c r="A32" s="6" t="s">
        <v>23</v>
      </c>
      <c r="B32" t="s">
        <v>8</v>
      </c>
      <c r="C32" s="1" t="s">
        <v>16</v>
      </c>
      <c r="D32" s="7" t="s">
        <v>10</v>
      </c>
      <c r="E32">
        <f>E8</f>
        <v>156</v>
      </c>
      <c r="F32">
        <f>E32 - E31</f>
        <v>31</v>
      </c>
      <c r="G32" t="e">
        <f>NA()</f>
        <v>#N/A</v>
      </c>
    </row>
    <row r="33" spans="1:7" x14ac:dyDescent="0.25">
      <c r="A33" s="6" t="s">
        <v>23</v>
      </c>
      <c r="B33" t="s">
        <v>8</v>
      </c>
      <c r="C33" s="1" t="s">
        <v>17</v>
      </c>
      <c r="D33" s="7" t="s">
        <v>10</v>
      </c>
      <c r="E33">
        <f>E9</f>
        <v>195</v>
      </c>
      <c r="F33">
        <f>E33 - E32</f>
        <v>39</v>
      </c>
      <c r="G33" t="e">
        <f>NA()</f>
        <v>#N/A</v>
      </c>
    </row>
    <row r="34" spans="1:7" x14ac:dyDescent="0.25">
      <c r="A34" s="6" t="s">
        <v>23</v>
      </c>
      <c r="B34" t="s">
        <v>8</v>
      </c>
      <c r="C34" s="1" t="s">
        <v>18</v>
      </c>
      <c r="D34" s="7" t="s">
        <v>10</v>
      </c>
      <c r="E34">
        <f>E10</f>
        <v>244</v>
      </c>
      <c r="F34">
        <f>E34 - E33</f>
        <v>49</v>
      </c>
      <c r="G34">
        <f>E34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11</v>
      </c>
      <c r="C3">
        <v>1</v>
      </c>
    </row>
    <row r="4" spans="1:11" x14ac:dyDescent="0.25">
      <c r="A4" s="1" t="s">
        <v>12</v>
      </c>
      <c r="C4">
        <v>-1</v>
      </c>
      <c r="D4">
        <v>1</v>
      </c>
    </row>
    <row r="5" spans="1:11" x14ac:dyDescent="0.25">
      <c r="A5" s="1" t="s">
        <v>13</v>
      </c>
      <c r="D5">
        <v>-1</v>
      </c>
      <c r="E5">
        <v>1</v>
      </c>
    </row>
    <row r="6" spans="1:11" x14ac:dyDescent="0.25">
      <c r="A6" s="1" t="s">
        <v>14</v>
      </c>
      <c r="E6">
        <v>-1</v>
      </c>
      <c r="F6">
        <v>1</v>
      </c>
    </row>
    <row r="7" spans="1:11" x14ac:dyDescent="0.25">
      <c r="A7" s="1" t="s">
        <v>15</v>
      </c>
      <c r="G7">
        <v>1</v>
      </c>
    </row>
    <row r="8" spans="1:11" x14ac:dyDescent="0.25">
      <c r="A8" s="1" t="s">
        <v>16</v>
      </c>
      <c r="G8">
        <v>-1</v>
      </c>
      <c r="H8">
        <v>1</v>
      </c>
    </row>
    <row r="9" spans="1:11" x14ac:dyDescent="0.25">
      <c r="A9" s="1" t="s">
        <v>17</v>
      </c>
      <c r="H9">
        <v>-1</v>
      </c>
      <c r="I9">
        <v>1</v>
      </c>
    </row>
    <row r="10" spans="1:11" x14ac:dyDescent="0.25">
      <c r="A10" s="1" t="s">
        <v>18</v>
      </c>
      <c r="I10">
        <v>-1</v>
      </c>
      <c r="J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11</v>
      </c>
      <c r="B3">
        <v>0.75</v>
      </c>
      <c r="C3">
        <v>1</v>
      </c>
    </row>
    <row r="4" spans="1:11" x14ac:dyDescent="0.25">
      <c r="A4" s="1" t="s">
        <v>12</v>
      </c>
      <c r="B4">
        <v>0.5</v>
      </c>
      <c r="D4">
        <v>1</v>
      </c>
    </row>
    <row r="5" spans="1:11" x14ac:dyDescent="0.25">
      <c r="A5" s="1" t="s">
        <v>13</v>
      </c>
      <c r="B5">
        <v>0.25</v>
      </c>
      <c r="E5">
        <v>1</v>
      </c>
    </row>
    <row r="6" spans="1:11" x14ac:dyDescent="0.25">
      <c r="A6" s="1" t="s">
        <v>14</v>
      </c>
      <c r="F6">
        <v>1</v>
      </c>
    </row>
    <row r="7" spans="1:11" x14ac:dyDescent="0.25">
      <c r="A7" s="1" t="s">
        <v>15</v>
      </c>
      <c r="C7">
        <v>-1</v>
      </c>
      <c r="F7">
        <v>1</v>
      </c>
      <c r="G7">
        <v>1</v>
      </c>
    </row>
    <row r="8" spans="1:11" x14ac:dyDescent="0.25">
      <c r="A8" s="1" t="s">
        <v>16</v>
      </c>
      <c r="D8">
        <v>-1</v>
      </c>
      <c r="F8">
        <v>1</v>
      </c>
      <c r="H8">
        <v>1</v>
      </c>
    </row>
    <row r="9" spans="1:11" x14ac:dyDescent="0.25">
      <c r="A9" s="1" t="s">
        <v>17</v>
      </c>
      <c r="E9">
        <v>-1</v>
      </c>
      <c r="F9">
        <v>1</v>
      </c>
      <c r="I9">
        <v>1</v>
      </c>
    </row>
    <row r="10" spans="1:11" x14ac:dyDescent="0.25">
      <c r="A10" s="1" t="s">
        <v>18</v>
      </c>
      <c r="J10">
        <v>1</v>
      </c>
    </row>
    <row r="11" spans="1:11" x14ac:dyDescent="0.25">
      <c r="A11" s="1" t="s">
        <v>19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AD74-9F73-4357-B57D-6F0DD58F65BB}">
  <dimension ref="A1:F23"/>
  <sheetViews>
    <sheetView tabSelected="1" workbookViewId="0">
      <selection activeCell="F1" sqref="F1"/>
    </sheetView>
  </sheetViews>
  <sheetFormatPr defaultRowHeight="15" x14ac:dyDescent="0.25"/>
  <cols>
    <col min="2" max="2" width="10.7109375" customWidth="1"/>
    <col min="4" max="4" width="30.7109375" customWidth="1"/>
    <col min="5" max="5" width="11.28515625" customWidth="1"/>
    <col min="6" max="6" width="32.7109375" customWidth="1"/>
  </cols>
  <sheetData>
    <row r="1" spans="1:6" x14ac:dyDescent="0.25">
      <c r="A1" s="11" t="s">
        <v>0</v>
      </c>
      <c r="B1" s="11" t="s">
        <v>2</v>
      </c>
      <c r="C1" s="11" t="s">
        <v>3</v>
      </c>
      <c r="D1" s="11" t="s">
        <v>1</v>
      </c>
      <c r="E1" s="11" t="s">
        <v>4</v>
      </c>
      <c r="F1" s="11" t="s">
        <v>55</v>
      </c>
    </row>
    <row r="2" spans="1:6" x14ac:dyDescent="0.25">
      <c r="A2" s="4" t="s">
        <v>7</v>
      </c>
      <c r="B2" s="1" t="s">
        <v>11</v>
      </c>
      <c r="C2" t="s">
        <v>10</v>
      </c>
      <c r="D2" t="s">
        <v>33</v>
      </c>
      <c r="E2">
        <v>1000</v>
      </c>
      <c r="F2" t="str">
        <f>INDEX(concepts_adds[concept_add], MATCH(D2,concepts_adds[concept_from],0))</f>
        <v>AssetsNongoodwillNoncash</v>
      </c>
    </row>
    <row r="3" spans="1:6" x14ac:dyDescent="0.25">
      <c r="A3" s="4" t="s">
        <v>7</v>
      </c>
      <c r="B3" s="1" t="s">
        <v>11</v>
      </c>
      <c r="C3" t="s">
        <v>10</v>
      </c>
      <c r="D3" t="s">
        <v>39</v>
      </c>
      <c r="E3">
        <v>150</v>
      </c>
      <c r="F3" t="str">
        <f>INDEX(concepts_adds[concept_add], MATCH(D3,concepts_adds[concept_from],0))</f>
        <v>AssetsNongoodwillNoncash</v>
      </c>
    </row>
    <row r="4" spans="1:6" x14ac:dyDescent="0.25">
      <c r="A4" s="4" t="s">
        <v>7</v>
      </c>
      <c r="B4" s="1" t="s">
        <v>11</v>
      </c>
      <c r="C4" t="s">
        <v>10</v>
      </c>
      <c r="D4" t="s">
        <v>40</v>
      </c>
      <c r="E4">
        <v>50</v>
      </c>
      <c r="F4" t="str">
        <f>INDEX(concepts_adds[concept_add], MATCH(D4,concepts_adds[concept_from],0))</f>
        <v>AssetsNongoodwillNoncash</v>
      </c>
    </row>
    <row r="5" spans="1:6" x14ac:dyDescent="0.25">
      <c r="A5" s="4" t="s">
        <v>7</v>
      </c>
      <c r="B5" s="1" t="s">
        <v>11</v>
      </c>
      <c r="C5" t="s">
        <v>10</v>
      </c>
      <c r="D5" t="s">
        <v>42</v>
      </c>
      <c r="E5">
        <v>200</v>
      </c>
      <c r="F5" t="str">
        <f>INDEX(concepts_adds[concept_add], MATCH(D5,concepts_adds[concept_from],0))</f>
        <v>AssetsNongoodwillNoncash</v>
      </c>
    </row>
    <row r="6" spans="1:6" x14ac:dyDescent="0.25">
      <c r="A6" s="4" t="s">
        <v>7</v>
      </c>
      <c r="B6" s="1" t="s">
        <v>11</v>
      </c>
      <c r="C6" t="s">
        <v>10</v>
      </c>
      <c r="D6" s="14" t="s">
        <v>25</v>
      </c>
      <c r="E6">
        <v>150</v>
      </c>
      <c r="F6" t="str">
        <f>INDEX(concepts_adds[concept_add], MATCH(D6,concepts_adds[concept_from],0))</f>
        <v>EbitdaExclUnusalAndExtraordinary</v>
      </c>
    </row>
    <row r="7" spans="1:6" x14ac:dyDescent="0.25">
      <c r="A7" s="4" t="s">
        <v>7</v>
      </c>
      <c r="B7" s="1" t="s">
        <v>11</v>
      </c>
      <c r="C7" t="s">
        <v>10</v>
      </c>
      <c r="D7" s="14" t="s">
        <v>54</v>
      </c>
      <c r="E7">
        <v>-10</v>
      </c>
      <c r="F7" t="str">
        <f>INDEX(concepts_adds[concept_add], MATCH(D7,concepts_adds[concept_from],0))</f>
        <v>EbitdaExclUnusalAndExtraordinary</v>
      </c>
    </row>
    <row r="8" spans="1:6" x14ac:dyDescent="0.25">
      <c r="A8" s="4" t="s">
        <v>7</v>
      </c>
      <c r="B8" s="12" t="s">
        <v>12</v>
      </c>
      <c r="C8" t="s">
        <v>10</v>
      </c>
      <c r="D8" s="14" t="s">
        <v>25</v>
      </c>
      <c r="E8">
        <v>125</v>
      </c>
      <c r="F8" t="str">
        <f>INDEX(concepts_adds[concept_add], MATCH(D8,concepts_adds[concept_from],0))</f>
        <v>EbitdaExclUnusalAndExtraordinary</v>
      </c>
    </row>
    <row r="9" spans="1:6" x14ac:dyDescent="0.25">
      <c r="A9" s="4" t="s">
        <v>7</v>
      </c>
      <c r="B9" s="12" t="s">
        <v>12</v>
      </c>
      <c r="C9" t="s">
        <v>10</v>
      </c>
      <c r="D9" s="14" t="s">
        <v>54</v>
      </c>
      <c r="E9">
        <v>5</v>
      </c>
      <c r="F9" t="str">
        <f>INDEX(concepts_adds[concept_add], MATCH(D9,concepts_adds[concept_from],0))</f>
        <v>EbitdaExclUnusalAndExtraordinary</v>
      </c>
    </row>
    <row r="10" spans="1:6" x14ac:dyDescent="0.25">
      <c r="A10" s="4" t="s">
        <v>7</v>
      </c>
      <c r="B10" s="13" t="s">
        <v>12</v>
      </c>
      <c r="C10" t="s">
        <v>27</v>
      </c>
      <c r="D10" t="s">
        <v>33</v>
      </c>
      <c r="E10">
        <v>1000</v>
      </c>
      <c r="F10" t="str">
        <f>INDEX(concepts_adds[concept_add], MATCH(D10,concepts_adds[concept_from],0))</f>
        <v>AssetsNongoodwillNoncash</v>
      </c>
    </row>
    <row r="11" spans="1:6" x14ac:dyDescent="0.25">
      <c r="A11" s="4" t="s">
        <v>7</v>
      </c>
      <c r="B11" s="13" t="s">
        <v>12</v>
      </c>
      <c r="C11" t="s">
        <v>27</v>
      </c>
      <c r="D11" t="s">
        <v>39</v>
      </c>
      <c r="E11">
        <v>150</v>
      </c>
      <c r="F11" t="str">
        <f>INDEX(concepts_adds[concept_add], MATCH(D11,concepts_adds[concept_from],0))</f>
        <v>AssetsNongoodwillNoncash</v>
      </c>
    </row>
    <row r="12" spans="1:6" x14ac:dyDescent="0.25">
      <c r="A12" s="4" t="s">
        <v>7</v>
      </c>
      <c r="B12" s="13" t="s">
        <v>12</v>
      </c>
      <c r="C12" t="s">
        <v>27</v>
      </c>
      <c r="D12" t="s">
        <v>40</v>
      </c>
      <c r="F12" t="str">
        <f>INDEX(concepts_adds[concept_add], MATCH(D12,concepts_adds[concept_from],0))</f>
        <v>AssetsNongoodwillNoncash</v>
      </c>
    </row>
    <row r="13" spans="1:6" x14ac:dyDescent="0.25">
      <c r="A13" s="4" t="s">
        <v>7</v>
      </c>
      <c r="B13" s="13" t="s">
        <v>12</v>
      </c>
      <c r="C13" t="s">
        <v>27</v>
      </c>
      <c r="D13" t="s">
        <v>42</v>
      </c>
      <c r="E13">
        <v>200</v>
      </c>
      <c r="F13" t="str">
        <f>INDEX(concepts_adds[concept_add], MATCH(D13,concepts_adds[concept_from],0))</f>
        <v>AssetsNongoodwillNoncash</v>
      </c>
    </row>
    <row r="14" spans="1:6" x14ac:dyDescent="0.25">
      <c r="A14" s="5" t="s">
        <v>22</v>
      </c>
      <c r="B14" s="1" t="s">
        <v>11</v>
      </c>
      <c r="C14" t="s">
        <v>10</v>
      </c>
      <c r="D14" t="s">
        <v>33</v>
      </c>
      <c r="E14">
        <v>1000</v>
      </c>
      <c r="F14" t="str">
        <f>INDEX(concepts_adds[concept_add], MATCH(D14,concepts_adds[concept_from],0))</f>
        <v>AssetsNongoodwillNoncash</v>
      </c>
    </row>
    <row r="15" spans="1:6" x14ac:dyDescent="0.25">
      <c r="A15" s="5" t="s">
        <v>22</v>
      </c>
      <c r="B15" s="1" t="s">
        <v>11</v>
      </c>
      <c r="C15" t="s">
        <v>10</v>
      </c>
      <c r="D15" t="s">
        <v>39</v>
      </c>
      <c r="E15">
        <v>0</v>
      </c>
      <c r="F15" t="str">
        <f>INDEX(concepts_adds[concept_add], MATCH(D15,concepts_adds[concept_from],0))</f>
        <v>AssetsNongoodwillNoncash</v>
      </c>
    </row>
    <row r="16" spans="1:6" x14ac:dyDescent="0.25">
      <c r="A16" s="5" t="s">
        <v>22</v>
      </c>
      <c r="B16" s="1" t="s">
        <v>11</v>
      </c>
      <c r="C16" t="s">
        <v>10</v>
      </c>
      <c r="D16" t="s">
        <v>40</v>
      </c>
      <c r="F16" t="str">
        <f>INDEX(concepts_adds[concept_add], MATCH(D16,concepts_adds[concept_from],0))</f>
        <v>AssetsNongoodwillNoncash</v>
      </c>
    </row>
    <row r="17" spans="1:6" x14ac:dyDescent="0.25">
      <c r="A17" s="5" t="s">
        <v>22</v>
      </c>
      <c r="B17" s="1" t="s">
        <v>11</v>
      </c>
      <c r="C17" t="s">
        <v>10</v>
      </c>
      <c r="D17" t="s">
        <v>42</v>
      </c>
      <c r="E17">
        <v>200</v>
      </c>
      <c r="F17" t="str">
        <f>INDEX(concepts_adds[concept_add], MATCH(D17,concepts_adds[concept_from],0))</f>
        <v>AssetsNongoodwillNoncash</v>
      </c>
    </row>
    <row r="18" spans="1:6" x14ac:dyDescent="0.25">
      <c r="A18" s="5" t="s">
        <v>22</v>
      </c>
      <c r="B18" s="1" t="s">
        <v>11</v>
      </c>
      <c r="C18" t="s">
        <v>10</v>
      </c>
      <c r="D18" s="14" t="s">
        <v>25</v>
      </c>
      <c r="F18" t="str">
        <f>INDEX(concepts_adds[concept_add], MATCH(D18,concepts_adds[concept_from],0))</f>
        <v>EbitdaExclUnusalAndExtraordinary</v>
      </c>
    </row>
    <row r="19" spans="1:6" x14ac:dyDescent="0.25">
      <c r="A19" s="5" t="s">
        <v>22</v>
      </c>
      <c r="B19" s="1" t="s">
        <v>11</v>
      </c>
      <c r="C19" t="s">
        <v>10</v>
      </c>
      <c r="D19" s="14" t="s">
        <v>54</v>
      </c>
      <c r="E19">
        <v>-10</v>
      </c>
      <c r="F19" t="str">
        <f>INDEX(concepts_adds[concept_add], MATCH(D19,concepts_adds[concept_from],0))</f>
        <v>EbitdaExclUnusalAndExtraordinary</v>
      </c>
    </row>
    <row r="20" spans="1:6" x14ac:dyDescent="0.25">
      <c r="A20" s="6" t="s">
        <v>23</v>
      </c>
      <c r="B20" s="1" t="s">
        <v>12</v>
      </c>
      <c r="C20" t="s">
        <v>10</v>
      </c>
      <c r="D20" t="s">
        <v>33</v>
      </c>
      <c r="E20">
        <v>1000</v>
      </c>
      <c r="F20" t="str">
        <f>INDEX(concepts_adds[concept_add], MATCH(D20,concepts_adds[concept_from],0))</f>
        <v>AssetsNongoodwillNoncash</v>
      </c>
    </row>
    <row r="21" spans="1:6" x14ac:dyDescent="0.25">
      <c r="A21" s="6" t="s">
        <v>23</v>
      </c>
      <c r="B21" s="1" t="s">
        <v>12</v>
      </c>
      <c r="C21" t="s">
        <v>10</v>
      </c>
      <c r="D21" t="s">
        <v>39</v>
      </c>
      <c r="E21">
        <v>150</v>
      </c>
      <c r="F21" t="str">
        <f>INDEX(concepts_adds[concept_add], MATCH(D21,concepts_adds[concept_from],0))</f>
        <v>AssetsNongoodwillNoncash</v>
      </c>
    </row>
    <row r="22" spans="1:6" x14ac:dyDescent="0.25">
      <c r="A22" s="6" t="s">
        <v>23</v>
      </c>
      <c r="B22" s="1" t="s">
        <v>12</v>
      </c>
      <c r="C22" t="s">
        <v>10</v>
      </c>
      <c r="D22" t="s">
        <v>40</v>
      </c>
      <c r="E22">
        <v>50</v>
      </c>
      <c r="F22" t="str">
        <f>INDEX(concepts_adds[concept_add], MATCH(D22,concepts_adds[concept_from],0))</f>
        <v>AssetsNongoodwillNoncash</v>
      </c>
    </row>
    <row r="23" spans="1:6" x14ac:dyDescent="0.25">
      <c r="A23" s="6" t="s">
        <v>23</v>
      </c>
      <c r="B23" s="1" t="s">
        <v>12</v>
      </c>
      <c r="C23" t="s">
        <v>27</v>
      </c>
      <c r="D23" t="s">
        <v>42</v>
      </c>
      <c r="E23">
        <v>200</v>
      </c>
      <c r="F23" t="str">
        <f>INDEX(concepts_adds[concept_add], MATCH(D23,concepts_adds[concept_from],0))</f>
        <v>AssetsNongoodwillNoncash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6EF9-13CF-446E-BDAB-47D3A486AC54}">
  <dimension ref="A1:D27"/>
  <sheetViews>
    <sheetView workbookViewId="0">
      <selection activeCell="C3" sqref="C3"/>
    </sheetView>
  </sheetViews>
  <sheetFormatPr defaultRowHeight="15" x14ac:dyDescent="0.25"/>
  <cols>
    <col min="1" max="2" width="40.7109375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31</v>
      </c>
    </row>
    <row r="2" spans="1:4" x14ac:dyDescent="0.25">
      <c r="A2" t="s">
        <v>32</v>
      </c>
      <c r="B2" t="s">
        <v>33</v>
      </c>
      <c r="C2" t="s">
        <v>34</v>
      </c>
      <c r="D2">
        <v>1</v>
      </c>
    </row>
    <row r="3" spans="1:4" x14ac:dyDescent="0.25">
      <c r="A3" t="s">
        <v>26</v>
      </c>
      <c r="B3" t="s">
        <v>33</v>
      </c>
      <c r="C3" t="s">
        <v>34</v>
      </c>
      <c r="D3">
        <v>1</v>
      </c>
    </row>
    <row r="4" spans="1:4" x14ac:dyDescent="0.25">
      <c r="A4" t="s">
        <v>35</v>
      </c>
      <c r="B4" t="s">
        <v>36</v>
      </c>
      <c r="C4" t="s">
        <v>34</v>
      </c>
      <c r="D4">
        <v>1</v>
      </c>
    </row>
    <row r="5" spans="1:4" x14ac:dyDescent="0.25">
      <c r="A5" t="s">
        <v>37</v>
      </c>
      <c r="B5" t="s">
        <v>36</v>
      </c>
      <c r="C5" t="s">
        <v>34</v>
      </c>
      <c r="D5">
        <v>1</v>
      </c>
    </row>
    <row r="6" spans="1:4" x14ac:dyDescent="0.25">
      <c r="A6" t="s">
        <v>38</v>
      </c>
      <c r="B6" t="s">
        <v>36</v>
      </c>
      <c r="C6" t="s">
        <v>34</v>
      </c>
      <c r="D6">
        <v>1</v>
      </c>
    </row>
    <row r="7" spans="1:4" x14ac:dyDescent="0.25">
      <c r="A7" t="s">
        <v>32</v>
      </c>
      <c r="B7" t="s">
        <v>39</v>
      </c>
      <c r="C7" t="s">
        <v>34</v>
      </c>
      <c r="D7">
        <v>-1</v>
      </c>
    </row>
    <row r="8" spans="1:4" x14ac:dyDescent="0.25">
      <c r="A8" t="s">
        <v>26</v>
      </c>
      <c r="B8" t="s">
        <v>39</v>
      </c>
      <c r="C8" t="s">
        <v>34</v>
      </c>
      <c r="D8">
        <v>-1</v>
      </c>
    </row>
    <row r="9" spans="1:4" x14ac:dyDescent="0.25">
      <c r="A9" t="s">
        <v>32</v>
      </c>
      <c r="B9" t="s">
        <v>40</v>
      </c>
      <c r="C9" t="s">
        <v>34</v>
      </c>
      <c r="D9">
        <v>-1</v>
      </c>
    </row>
    <row r="10" spans="1:4" x14ac:dyDescent="0.25">
      <c r="A10" t="s">
        <v>26</v>
      </c>
      <c r="B10" t="s">
        <v>40</v>
      </c>
      <c r="C10" t="s">
        <v>34</v>
      </c>
      <c r="D10">
        <v>-1</v>
      </c>
    </row>
    <row r="11" spans="1:4" x14ac:dyDescent="0.25">
      <c r="A11" t="s">
        <v>37</v>
      </c>
      <c r="B11" t="s">
        <v>41</v>
      </c>
      <c r="C11" t="s">
        <v>34</v>
      </c>
      <c r="D11">
        <v>1</v>
      </c>
    </row>
    <row r="12" spans="1:4" x14ac:dyDescent="0.25">
      <c r="A12" t="s">
        <v>32</v>
      </c>
      <c r="B12" t="s">
        <v>42</v>
      </c>
      <c r="C12" t="s">
        <v>34</v>
      </c>
      <c r="D12">
        <v>-1</v>
      </c>
    </row>
    <row r="13" spans="1:4" x14ac:dyDescent="0.25">
      <c r="A13" t="s">
        <v>26</v>
      </c>
      <c r="B13" t="s">
        <v>42</v>
      </c>
      <c r="C13" t="s">
        <v>34</v>
      </c>
      <c r="D13">
        <v>-1</v>
      </c>
    </row>
    <row r="14" spans="1:4" x14ac:dyDescent="0.25">
      <c r="A14" t="s">
        <v>26</v>
      </c>
      <c r="B14" t="s">
        <v>43</v>
      </c>
      <c r="C14" t="s">
        <v>34</v>
      </c>
      <c r="D14">
        <v>-1</v>
      </c>
    </row>
    <row r="15" spans="1:4" x14ac:dyDescent="0.25">
      <c r="A15" t="s">
        <v>35</v>
      </c>
      <c r="B15" t="s">
        <v>44</v>
      </c>
      <c r="C15" t="s">
        <v>34</v>
      </c>
      <c r="D15">
        <v>1</v>
      </c>
    </row>
    <row r="16" spans="1:4" x14ac:dyDescent="0.25">
      <c r="A16" t="s">
        <v>37</v>
      </c>
      <c r="B16" t="s">
        <v>44</v>
      </c>
      <c r="C16" t="s">
        <v>34</v>
      </c>
      <c r="D16">
        <v>1</v>
      </c>
    </row>
    <row r="17" spans="1:4" x14ac:dyDescent="0.25">
      <c r="A17" t="s">
        <v>38</v>
      </c>
      <c r="B17" t="s">
        <v>44</v>
      </c>
      <c r="C17" t="s">
        <v>34</v>
      </c>
      <c r="D17">
        <v>1</v>
      </c>
    </row>
    <row r="18" spans="1:4" x14ac:dyDescent="0.25">
      <c r="A18" t="s">
        <v>35</v>
      </c>
      <c r="B18" t="s">
        <v>45</v>
      </c>
      <c r="C18" t="s">
        <v>34</v>
      </c>
      <c r="D18">
        <v>1</v>
      </c>
    </row>
    <row r="19" spans="1:4" x14ac:dyDescent="0.25">
      <c r="A19" t="s">
        <v>37</v>
      </c>
      <c r="B19" t="s">
        <v>45</v>
      </c>
      <c r="C19" t="s">
        <v>34</v>
      </c>
      <c r="D19">
        <v>1</v>
      </c>
    </row>
    <row r="20" spans="1:4" x14ac:dyDescent="0.25">
      <c r="A20" t="s">
        <v>38</v>
      </c>
      <c r="B20" t="s">
        <v>45</v>
      </c>
      <c r="C20" t="s">
        <v>34</v>
      </c>
      <c r="D20">
        <v>1</v>
      </c>
    </row>
    <row r="21" spans="1:4" x14ac:dyDescent="0.25">
      <c r="A21" t="s">
        <v>38</v>
      </c>
      <c r="B21" t="s">
        <v>46</v>
      </c>
      <c r="C21" t="s">
        <v>34</v>
      </c>
      <c r="D21">
        <v>1</v>
      </c>
    </row>
    <row r="22" spans="1:4" x14ac:dyDescent="0.25">
      <c r="A22" t="s">
        <v>47</v>
      </c>
      <c r="B22" t="s">
        <v>48</v>
      </c>
      <c r="C22" t="s">
        <v>49</v>
      </c>
      <c r="D22">
        <v>1</v>
      </c>
    </row>
    <row r="23" spans="1:4" x14ac:dyDescent="0.25">
      <c r="A23" t="s">
        <v>50</v>
      </c>
      <c r="B23" t="s">
        <v>25</v>
      </c>
      <c r="C23" t="s">
        <v>49</v>
      </c>
      <c r="D23">
        <v>1</v>
      </c>
    </row>
    <row r="24" spans="1:4" x14ac:dyDescent="0.25">
      <c r="A24" t="s">
        <v>47</v>
      </c>
      <c r="B24" t="s">
        <v>51</v>
      </c>
      <c r="C24" t="s">
        <v>49</v>
      </c>
      <c r="D24">
        <v>1</v>
      </c>
    </row>
    <row r="25" spans="1:4" x14ac:dyDescent="0.25">
      <c r="A25" t="s">
        <v>47</v>
      </c>
      <c r="B25" t="s">
        <v>52</v>
      </c>
      <c r="C25" t="s">
        <v>49</v>
      </c>
      <c r="D25">
        <v>1</v>
      </c>
    </row>
    <row r="26" spans="1:4" x14ac:dyDescent="0.25">
      <c r="A26" t="s">
        <v>47</v>
      </c>
      <c r="B26" t="s">
        <v>53</v>
      </c>
      <c r="C26" t="s">
        <v>49</v>
      </c>
      <c r="D26">
        <v>1</v>
      </c>
    </row>
    <row r="27" spans="1:4" x14ac:dyDescent="0.25">
      <c r="A27" t="s">
        <v>50</v>
      </c>
      <c r="B27" t="s">
        <v>54</v>
      </c>
      <c r="C27" t="s">
        <v>49</v>
      </c>
      <c r="D2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data1</vt:lpstr>
      <vt:lpstr>qrtr</vt:lpstr>
      <vt:lpstr>rolly</vt:lpstr>
      <vt:lpstr>data2</vt:lpstr>
      <vt:lpstr>concepts_adds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2026-04-15T09:58:35Z</dcterms:modified>
</cp:coreProperties>
</file>