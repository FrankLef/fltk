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B962AED8-AFCD-407C-BC85-ED37BD22630D}" xr6:coauthVersionLast="47" xr6:coauthVersionMax="47" xr10:uidLastSave="{00000000-0000-0000-0000-000000000000}"/>
  <bookViews>
    <workbookView xWindow="-120" yWindow="-120" windowWidth="38640" windowHeight="15720" xr2:uid="{55D8B766-AA58-4EC0-B6FD-8EEF6CA6A6EF}"/>
  </bookViews>
  <sheets>
    <sheet name="data1" sheetId="7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" i="7" l="1"/>
  <c r="I48" i="7"/>
  <c r="G48" i="7" s="1"/>
  <c r="I47" i="7"/>
  <c r="H47" i="7"/>
  <c r="I44" i="7"/>
  <c r="H44" i="7"/>
  <c r="I42" i="7"/>
  <c r="G42" i="7" s="1"/>
  <c r="I41" i="7"/>
  <c r="H41" i="7"/>
  <c r="I39" i="7"/>
  <c r="G39" i="7" s="1"/>
  <c r="I38" i="7"/>
  <c r="H38" i="7"/>
  <c r="I36" i="7"/>
  <c r="G36" i="7" s="1"/>
  <c r="I35" i="7"/>
  <c r="H35" i="7"/>
  <c r="I33" i="7"/>
  <c r="G33" i="7" s="1"/>
  <c r="I32" i="7"/>
  <c r="H32" i="7"/>
  <c r="I30" i="7"/>
  <c r="I29" i="7"/>
  <c r="H29" i="7"/>
  <c r="I27" i="7"/>
  <c r="G27" i="7" s="1"/>
  <c r="I26" i="7"/>
  <c r="H26" i="7"/>
  <c r="I24" i="7"/>
  <c r="G24" i="7" s="1"/>
  <c r="I23" i="7"/>
  <c r="H23" i="7"/>
  <c r="I21" i="7"/>
  <c r="G21" i="7" s="1"/>
  <c r="I20" i="7"/>
  <c r="H20" i="7"/>
  <c r="I18" i="7"/>
  <c r="G18" i="7" s="1"/>
  <c r="I17" i="7"/>
  <c r="H17" i="7"/>
  <c r="I12" i="7"/>
  <c r="I11" i="7"/>
  <c r="H11" i="7"/>
  <c r="I9" i="7"/>
  <c r="G9" i="7" s="1"/>
  <c r="I8" i="7"/>
  <c r="H8" i="7"/>
  <c r="I6" i="7"/>
  <c r="I5" i="7"/>
  <c r="H5" i="7"/>
  <c r="I3" i="7"/>
  <c r="I2" i="7"/>
  <c r="H2" i="7"/>
  <c r="I15" i="7"/>
  <c r="G15" i="7" s="1"/>
  <c r="I14" i="7"/>
  <c r="H14" i="7"/>
  <c r="G28" i="7"/>
  <c r="G25" i="7"/>
  <c r="G22" i="7"/>
  <c r="G19" i="7"/>
  <c r="G43" i="7"/>
  <c r="G40" i="7"/>
  <c r="G37" i="7"/>
  <c r="G34" i="7"/>
  <c r="G49" i="7"/>
  <c r="G46" i="7"/>
  <c r="G4" i="7"/>
  <c r="G26" i="7" l="1"/>
  <c r="G35" i="7"/>
  <c r="G47" i="7"/>
  <c r="G17" i="7"/>
  <c r="G41" i="7"/>
  <c r="G38" i="7"/>
  <c r="G32" i="7"/>
  <c r="G23" i="7"/>
  <c r="G20" i="7"/>
  <c r="G11" i="7"/>
  <c r="G45" i="7"/>
  <c r="G44" i="7"/>
  <c r="G31" i="7"/>
  <c r="G30" i="7"/>
  <c r="G16" i="7"/>
  <c r="G14" i="7"/>
  <c r="G13" i="7"/>
  <c r="G12" i="7"/>
  <c r="G10" i="7"/>
  <c r="G8" i="7"/>
  <c r="G7" i="7"/>
  <c r="G6" i="7"/>
  <c r="G5" i="7"/>
  <c r="G3" i="7"/>
  <c r="G2" i="7"/>
  <c r="G29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9D9D0-B133-4FE4-A617-D66BF3D722D9}" keepAlive="1" name="Query - qryx_cal_qrtrs" description="Connection to the 'qryx_cal_qrtrs' query in the workbook." type="5" refreshedVersion="8" background="1" saveData="1">
    <dbPr connection="Provider=Microsoft.Mashup.OleDb.1;Data Source=$Workbook$;Location=qryx_cal_qrtrs;Extended Properties=&quot;&quot;" command="SELECT * FROM [qryx_cal_qrtrs]"/>
  </connection>
  <connection id="2" xr16:uid="{EFB1E1AE-B728-42BA-8EB0-631F0C567DBD}" keepAlive="1" name="Query - qryx_concepts" description="Connection to the 'qryx_concepts' query in the workbook." type="5" refreshedVersion="8" background="1" saveData="1">
    <dbPr connection="Provider=Microsoft.Mashup.OleDb.1;Data Source=$Workbook$;Location=qryx_concepts;Extended Properties=&quot;&quot;" command="SELECT * FROM [qryx_concepts]"/>
  </connection>
  <connection id="3" xr16:uid="{DA093DDE-27CA-4C4D-A304-B4E765FC10D5}" keepAlive="1" name="Query - qryx_concepts_adds" description="Connection to the 'qryx_concepts_adds' query in the workbook." type="5" refreshedVersion="8" background="1" saveData="1">
    <dbPr connection="Provider=Microsoft.Mashup.OleDb.1;Data Source=$Workbook$;Location=qryx_concepts_adds;Extended Properties=&quot;&quot;" command="SELECT * FROM [qryx_concepts_adds]"/>
  </connection>
  <connection id="4" xr16:uid="{5FBF212A-AAC5-4543-BC5F-866DD902D8B4}" keepAlive="1" name="Query - qryx_concepts_adds (2)" description="Connection to the 'qryx_concepts_adds (2)' query in the workbook." type="5" refreshedVersion="8" background="1" saveData="1">
    <dbPr connection="Provider=Microsoft.Mashup.OleDb.1;Data Source=$Workbook$;Location=&quot;qryx_concepts_adds (2)&quot;;Extended Properties=&quot;&quot;" command="SELECT * FROM [qryx_concepts_adds (2)]"/>
  </connection>
  <connection id="5" xr16:uid="{12870B70-691D-4F23-A6F6-3F474954B79F}" keepAlive="1" name="Query - qryx_entities" description="Connection to the 'qryx_entities' query in the workbook." type="5" refreshedVersion="8" background="1" saveData="1">
    <dbPr connection="Provider=Microsoft.Mashup.OleDb.1;Data Source=$Workbook$;Location=qryx_entities;Extended Properties=&quot;&quot;" command="SELECT * FROM [qryx_entities]"/>
  </connection>
  <connection id="6" xr16:uid="{F957FC5F-E3C8-4CD5-BC5C-8ED919029EF8}" keepAlive="1" name="Query - qryx_fstypes" description="Connection to the 'qryx_fstypes' query in the workbook." type="5" refreshedVersion="8" background="1" saveData="1">
    <dbPr connection="Provider=Microsoft.Mashup.OleDb.1;Data Source=$Workbook$;Location=qryx_fstypes;Extended Properties=&quot;&quot;" command="SELECT * FROM [qryx_fstypes]"/>
  </connection>
  <connection id="7" xr16:uid="{3FA4B6CA-F788-4F57-ABE2-D457AF417E61}" keepAlive="1" name="Query - qryx_pertypes" description="Connection to the 'qryx_pertypes' query in the workbook." type="5" refreshedVersion="8" background="1" saveData="1">
    <dbPr connection="Provider=Microsoft.Mashup.OleDb.1;Data Source=$Workbook$;Location=qryx_pertypes;Extended Properties=&quot;&quot;" command="SELECT * FROM [qryx_pertypes]"/>
  </connection>
</connections>
</file>

<file path=xl/sharedStrings.xml><?xml version="1.0" encoding="utf-8"?>
<sst xmlns="http://schemas.openxmlformats.org/spreadsheetml/2006/main" count="297" uniqueCount="30">
  <si>
    <t>DirectLabor</t>
  </si>
  <si>
    <t>EBITDA</t>
  </si>
  <si>
    <t>Ebitda2Sales</t>
  </si>
  <si>
    <t>Ebitda2TangibleAssetsNoncash</t>
  </si>
  <si>
    <t>MaterialCosts</t>
  </si>
  <si>
    <t>Sales2TangibleAssetsNoncash</t>
  </si>
  <si>
    <t>SalesNet</t>
  </si>
  <si>
    <t>TangibleAssetsNoncash</t>
  </si>
  <si>
    <t>Sales2MaterialCosts</t>
  </si>
  <si>
    <t>concept_num</t>
  </si>
  <si>
    <t>concept_den</t>
  </si>
  <si>
    <t>concept_ratio</t>
  </si>
  <si>
    <t>MaterialCosts2DirectLabor</t>
  </si>
  <si>
    <t>Sales2DirectLabor</t>
  </si>
  <si>
    <t>entity</t>
  </si>
  <si>
    <t>period</t>
  </si>
  <si>
    <t>pertype</t>
  </si>
  <si>
    <t>cieA</t>
  </si>
  <si>
    <t>cum</t>
  </si>
  <si>
    <t>q2020-1</t>
  </si>
  <si>
    <t>q2020-2</t>
  </si>
  <si>
    <t>cieB</t>
  </si>
  <si>
    <t>cieC</t>
  </si>
  <si>
    <t>qrtr</t>
  </si>
  <si>
    <t>ratio</t>
  </si>
  <si>
    <t>num</t>
  </si>
  <si>
    <t>den</t>
  </si>
  <si>
    <t>q2020-3</t>
  </si>
  <si>
    <t>q2020-4</t>
  </si>
  <si>
    <t>q2020-5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</si>
</sst>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0" xfId="0" applyFont="1" applyFill="1"/>
    <xf numFmtId="0" fontId="0" fillId="3" borderId="0" xfId="0" applyFill="1"/>
    <xf numFmtId="0" fontId="3" fillId="0" borderId="1" xfId="1" applyFont="1" applyBorder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7" borderId="1" xfId="1" applyFont="1" applyFill="1" applyBorder="1" applyAlignment="1">
      <alignment wrapText="1"/>
    </xf>
    <xf numFmtId="0" fontId="3" fillId="2" borderId="1" xfId="1" applyFont="1" applyFill="1" applyBorder="1" applyAlignment="1">
      <alignment wrapText="1"/>
    </xf>
    <xf numFmtId="0" fontId="3" fillId="0" borderId="0" xfId="1" applyFont="1" applyBorder="1" applyAlignment="1">
      <alignment wrapText="1"/>
    </xf>
    <xf numFmtId="0" fontId="4" fillId="8" borderId="0" xfId="0" applyFont="1" applyFill="1"/>
  </cellXfs>
  <cellStyles count="2">
    <cellStyle name="Normal" xfId="0" builtinId="0"/>
    <cellStyle name="Normal_Sheet1" xfId="1" xr:uid="{16970789-4072-4D25-86BB-9F579B77D2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EF6B-52C6-492C-B13D-8396A5497842}">
  <dimension ref="A1:L49"/>
  <sheetViews>
    <sheetView tabSelected="1" workbookViewId="0">
      <pane ySplit="1" topLeftCell="A2" activePane="bottomLeft" state="frozen"/>
      <selection pane="bottomLeft" activeCell="I16" sqref="I16"/>
    </sheetView>
  </sheetViews>
  <sheetFormatPr defaultRowHeight="15" x14ac:dyDescent="0.25"/>
  <cols>
    <col min="4" max="6" width="30.7109375" customWidth="1"/>
    <col min="7" max="9" width="10.7109375" customWidth="1"/>
  </cols>
  <sheetData>
    <row r="1" spans="1:9" x14ac:dyDescent="0.25">
      <c r="A1" s="1" t="s">
        <v>14</v>
      </c>
      <c r="B1" s="1" t="s">
        <v>15</v>
      </c>
      <c r="C1" s="1" t="s">
        <v>16</v>
      </c>
      <c r="D1" s="1" t="s">
        <v>11</v>
      </c>
      <c r="E1" s="1" t="s">
        <v>9</v>
      </c>
      <c r="F1" s="1" t="s">
        <v>10</v>
      </c>
      <c r="G1" s="1" t="s">
        <v>24</v>
      </c>
      <c r="H1" s="1" t="s">
        <v>25</v>
      </c>
      <c r="I1" s="1" t="s">
        <v>26</v>
      </c>
    </row>
    <row r="2" spans="1:9" x14ac:dyDescent="0.25">
      <c r="A2" s="2" t="s">
        <v>17</v>
      </c>
      <c r="B2" s="3" t="s">
        <v>19</v>
      </c>
      <c r="C2" t="s">
        <v>18</v>
      </c>
      <c r="D2" s="6" t="s">
        <v>3</v>
      </c>
      <c r="E2" s="6" t="s">
        <v>1</v>
      </c>
      <c r="F2" s="6" t="s">
        <v>7</v>
      </c>
      <c r="G2">
        <f>H2 / I2</f>
        <v>0.13043478260869565</v>
      </c>
      <c r="H2">
        <f>H3</f>
        <v>150</v>
      </c>
      <c r="I2">
        <f>I4</f>
        <v>1150</v>
      </c>
    </row>
    <row r="3" spans="1:9" x14ac:dyDescent="0.25">
      <c r="A3" s="2" t="s">
        <v>17</v>
      </c>
      <c r="B3" s="3" t="s">
        <v>19</v>
      </c>
      <c r="C3" t="s">
        <v>18</v>
      </c>
      <c r="D3" s="6" t="s">
        <v>2</v>
      </c>
      <c r="E3" s="6" t="s">
        <v>1</v>
      </c>
      <c r="F3" s="6" t="s">
        <v>6</v>
      </c>
      <c r="G3">
        <f>H3 / I3</f>
        <v>0.15</v>
      </c>
      <c r="H3" s="10">
        <v>150</v>
      </c>
      <c r="I3">
        <f>H4</f>
        <v>1000</v>
      </c>
    </row>
    <row r="4" spans="1:9" x14ac:dyDescent="0.25">
      <c r="A4" s="2" t="s">
        <v>17</v>
      </c>
      <c r="B4" s="3" t="s">
        <v>19</v>
      </c>
      <c r="C4" t="s">
        <v>18</v>
      </c>
      <c r="D4" s="6" t="s">
        <v>5</v>
      </c>
      <c r="E4" s="6" t="s">
        <v>6</v>
      </c>
      <c r="F4" s="6" t="s">
        <v>7</v>
      </c>
      <c r="G4">
        <f>H4 / I4</f>
        <v>0.86956521739130432</v>
      </c>
      <c r="H4" s="10">
        <v>1000</v>
      </c>
      <c r="I4" s="10">
        <v>1150</v>
      </c>
    </row>
    <row r="5" spans="1:9" x14ac:dyDescent="0.25">
      <c r="A5" s="2" t="s">
        <v>17</v>
      </c>
      <c r="B5" s="3" t="s">
        <v>19</v>
      </c>
      <c r="C5" t="s">
        <v>18</v>
      </c>
      <c r="D5" t="s">
        <v>13</v>
      </c>
      <c r="E5" t="s">
        <v>6</v>
      </c>
      <c r="F5" t="s">
        <v>0</v>
      </c>
      <c r="G5">
        <f>H5 / I5</f>
        <v>5.7142857142857144</v>
      </c>
      <c r="H5">
        <f>H6</f>
        <v>1000</v>
      </c>
      <c r="I5">
        <f>I7</f>
        <v>175</v>
      </c>
    </row>
    <row r="6" spans="1:9" x14ac:dyDescent="0.25">
      <c r="A6" s="2" t="s">
        <v>17</v>
      </c>
      <c r="B6" s="3" t="s">
        <v>19</v>
      </c>
      <c r="C6" t="s">
        <v>18</v>
      </c>
      <c r="D6" t="s">
        <v>8</v>
      </c>
      <c r="E6" t="s">
        <v>6</v>
      </c>
      <c r="F6" t="s">
        <v>4</v>
      </c>
      <c r="G6">
        <f t="shared" ref="G6:G13" si="0">H6 / I6</f>
        <v>3.3333333333333335</v>
      </c>
      <c r="H6" s="10">
        <v>1000</v>
      </c>
      <c r="I6">
        <f>H7</f>
        <v>300</v>
      </c>
    </row>
    <row r="7" spans="1:9" x14ac:dyDescent="0.25">
      <c r="A7" s="2" t="s">
        <v>17</v>
      </c>
      <c r="B7" s="3" t="s">
        <v>19</v>
      </c>
      <c r="C7" t="s">
        <v>18</v>
      </c>
      <c r="D7" t="s">
        <v>12</v>
      </c>
      <c r="E7" t="s">
        <v>4</v>
      </c>
      <c r="F7" t="s">
        <v>0</v>
      </c>
      <c r="G7">
        <f t="shared" si="0"/>
        <v>1.7142857142857142</v>
      </c>
      <c r="H7" s="10">
        <v>300</v>
      </c>
      <c r="I7" s="10">
        <v>175</v>
      </c>
    </row>
    <row r="8" spans="1:9" x14ac:dyDescent="0.25">
      <c r="A8" s="2" t="s">
        <v>17</v>
      </c>
      <c r="B8" s="7" t="s">
        <v>20</v>
      </c>
      <c r="C8" t="s">
        <v>18</v>
      </c>
      <c r="D8" s="6" t="s">
        <v>3</v>
      </c>
      <c r="E8" s="6" t="s">
        <v>1</v>
      </c>
      <c r="F8" s="6" t="s">
        <v>7</v>
      </c>
      <c r="G8">
        <f t="shared" si="0"/>
        <v>0.12</v>
      </c>
      <c r="H8">
        <f>H9</f>
        <v>120</v>
      </c>
      <c r="I8">
        <f>I10</f>
        <v>1000</v>
      </c>
    </row>
    <row r="9" spans="1:9" x14ac:dyDescent="0.25">
      <c r="A9" s="2" t="s">
        <v>17</v>
      </c>
      <c r="B9" s="7" t="s">
        <v>20</v>
      </c>
      <c r="C9" t="s">
        <v>18</v>
      </c>
      <c r="D9" s="6" t="s">
        <v>2</v>
      </c>
      <c r="E9" s="6" t="s">
        <v>1</v>
      </c>
      <c r="F9" s="6" t="s">
        <v>6</v>
      </c>
      <c r="G9">
        <f t="shared" si="0"/>
        <v>0.10909090909090909</v>
      </c>
      <c r="H9" s="10">
        <v>120</v>
      </c>
      <c r="I9">
        <f>H10</f>
        <v>1100</v>
      </c>
    </row>
    <row r="10" spans="1:9" x14ac:dyDescent="0.25">
      <c r="A10" s="2" t="s">
        <v>17</v>
      </c>
      <c r="B10" s="7" t="s">
        <v>20</v>
      </c>
      <c r="C10" t="s">
        <v>18</v>
      </c>
      <c r="D10" s="6" t="s">
        <v>5</v>
      </c>
      <c r="E10" s="6" t="s">
        <v>6</v>
      </c>
      <c r="F10" s="6" t="s">
        <v>7</v>
      </c>
      <c r="G10">
        <f t="shared" si="0"/>
        <v>1.1000000000000001</v>
      </c>
      <c r="H10" s="10">
        <v>1100</v>
      </c>
      <c r="I10" s="10">
        <v>1000</v>
      </c>
    </row>
    <row r="11" spans="1:9" x14ac:dyDescent="0.25">
      <c r="A11" s="2" t="s">
        <v>17</v>
      </c>
      <c r="B11" s="8" t="s">
        <v>20</v>
      </c>
      <c r="C11" t="s">
        <v>23</v>
      </c>
      <c r="D11" t="s">
        <v>13</v>
      </c>
      <c r="E11" t="s">
        <v>6</v>
      </c>
      <c r="F11" t="s">
        <v>0</v>
      </c>
      <c r="G11">
        <f t="shared" si="0"/>
        <v>6.875</v>
      </c>
      <c r="H11">
        <f>H12</f>
        <v>275</v>
      </c>
      <c r="I11">
        <f>I13</f>
        <v>40</v>
      </c>
    </row>
    <row r="12" spans="1:9" x14ac:dyDescent="0.25">
      <c r="A12" s="2" t="s">
        <v>17</v>
      </c>
      <c r="B12" s="8" t="s">
        <v>20</v>
      </c>
      <c r="C12" t="s">
        <v>23</v>
      </c>
      <c r="D12" t="s">
        <v>8</v>
      </c>
      <c r="E12" t="s">
        <v>6</v>
      </c>
      <c r="F12" t="s">
        <v>4</v>
      </c>
      <c r="G12">
        <f t="shared" si="0"/>
        <v>5.5</v>
      </c>
      <c r="H12" s="10">
        <v>275</v>
      </c>
      <c r="I12">
        <f>H13</f>
        <v>50</v>
      </c>
    </row>
    <row r="13" spans="1:9" x14ac:dyDescent="0.25">
      <c r="A13" s="2" t="s">
        <v>17</v>
      </c>
      <c r="B13" s="8" t="s">
        <v>20</v>
      </c>
      <c r="C13" t="s">
        <v>23</v>
      </c>
      <c r="D13" t="s">
        <v>12</v>
      </c>
      <c r="E13" t="s">
        <v>4</v>
      </c>
      <c r="F13" t="s">
        <v>0</v>
      </c>
      <c r="G13">
        <f t="shared" si="0"/>
        <v>1.25</v>
      </c>
      <c r="H13" s="10">
        <v>50</v>
      </c>
      <c r="I13" s="10">
        <v>40</v>
      </c>
    </row>
    <row r="14" spans="1:9" x14ac:dyDescent="0.25">
      <c r="A14" s="4" t="s">
        <v>21</v>
      </c>
      <c r="B14" s="3" t="s">
        <v>19</v>
      </c>
      <c r="C14" t="s">
        <v>18</v>
      </c>
      <c r="D14" s="6" t="s">
        <v>3</v>
      </c>
      <c r="E14" s="6" t="s">
        <v>1</v>
      </c>
      <c r="F14" s="6" t="s">
        <v>7</v>
      </c>
      <c r="G14">
        <f>H14 / I14</f>
        <v>0.13043478260869565</v>
      </c>
      <c r="H14">
        <f>H15</f>
        <v>150</v>
      </c>
      <c r="I14">
        <f>I16</f>
        <v>1150</v>
      </c>
    </row>
    <row r="15" spans="1:9" x14ac:dyDescent="0.25">
      <c r="A15" s="4" t="s">
        <v>21</v>
      </c>
      <c r="B15" s="3" t="s">
        <v>19</v>
      </c>
      <c r="C15" t="s">
        <v>18</v>
      </c>
      <c r="D15" s="6" t="s">
        <v>2</v>
      </c>
      <c r="E15" s="6" t="s">
        <v>1</v>
      </c>
      <c r="F15" s="6" t="s">
        <v>6</v>
      </c>
      <c r="G15" t="e">
        <f>H15 / I15</f>
        <v>#DIV/0!</v>
      </c>
      <c r="H15" s="10">
        <v>150</v>
      </c>
      <c r="I15">
        <f>H16</f>
        <v>0</v>
      </c>
    </row>
    <row r="16" spans="1:9" x14ac:dyDescent="0.25">
      <c r="A16" s="4" t="s">
        <v>21</v>
      </c>
      <c r="B16" s="3" t="s">
        <v>19</v>
      </c>
      <c r="C16" t="s">
        <v>18</v>
      </c>
      <c r="D16" s="6" t="s">
        <v>5</v>
      </c>
      <c r="E16" s="6" t="s">
        <v>6</v>
      </c>
      <c r="F16" s="6" t="s">
        <v>7</v>
      </c>
      <c r="G16">
        <f>H16 / I16</f>
        <v>0</v>
      </c>
      <c r="H16" s="10">
        <v>0</v>
      </c>
      <c r="I16" s="10">
        <v>1150</v>
      </c>
    </row>
    <row r="17" spans="1:12" x14ac:dyDescent="0.25">
      <c r="A17" s="4" t="s">
        <v>21</v>
      </c>
      <c r="B17" s="3" t="s">
        <v>20</v>
      </c>
      <c r="C17" t="s">
        <v>18</v>
      </c>
      <c r="D17" s="6" t="s">
        <v>3</v>
      </c>
      <c r="E17" s="6" t="s">
        <v>1</v>
      </c>
      <c r="F17" s="6" t="s">
        <v>7</v>
      </c>
      <c r="G17">
        <f>H17 / I17</f>
        <v>0.13043478260869565</v>
      </c>
      <c r="H17">
        <f>H18</f>
        <v>150</v>
      </c>
      <c r="I17">
        <f>I19</f>
        <v>1150</v>
      </c>
      <c r="J17" s="9"/>
      <c r="K17" s="9"/>
      <c r="L17" s="9"/>
    </row>
    <row r="18" spans="1:12" x14ac:dyDescent="0.25">
      <c r="A18" s="4" t="s">
        <v>21</v>
      </c>
      <c r="B18" s="3" t="s">
        <v>20</v>
      </c>
      <c r="C18" t="s">
        <v>18</v>
      </c>
      <c r="D18" s="6" t="s">
        <v>2</v>
      </c>
      <c r="E18" s="6" t="s">
        <v>1</v>
      </c>
      <c r="F18" s="6" t="s">
        <v>6</v>
      </c>
      <c r="G18" t="e">
        <f>H18 / I18</f>
        <v>#DIV/0!</v>
      </c>
      <c r="H18" s="10">
        <v>150</v>
      </c>
      <c r="I18">
        <f>H19</f>
        <v>0</v>
      </c>
      <c r="J18" s="9"/>
      <c r="K18" s="9"/>
      <c r="L18" s="9"/>
    </row>
    <row r="19" spans="1:12" x14ac:dyDescent="0.25">
      <c r="A19" s="4" t="s">
        <v>21</v>
      </c>
      <c r="B19" s="3" t="s">
        <v>20</v>
      </c>
      <c r="C19" t="s">
        <v>18</v>
      </c>
      <c r="D19" s="6" t="s">
        <v>5</v>
      </c>
      <c r="E19" s="6" t="s">
        <v>6</v>
      </c>
      <c r="F19" s="6" t="s">
        <v>7</v>
      </c>
      <c r="G19">
        <f>H19 / I19</f>
        <v>0</v>
      </c>
      <c r="H19" s="10">
        <v>0</v>
      </c>
      <c r="I19" s="10">
        <v>1150</v>
      </c>
      <c r="J19" s="9"/>
      <c r="K19" s="9"/>
      <c r="L19" s="9"/>
    </row>
    <row r="20" spans="1:12" x14ac:dyDescent="0.25">
      <c r="A20" s="4" t="s">
        <v>21</v>
      </c>
      <c r="B20" s="3" t="s">
        <v>27</v>
      </c>
      <c r="C20" t="s">
        <v>18</v>
      </c>
      <c r="D20" s="6" t="s">
        <v>3</v>
      </c>
      <c r="E20" s="6" t="s">
        <v>1</v>
      </c>
      <c r="F20" s="6" t="s">
        <v>7</v>
      </c>
      <c r="G20">
        <f>H20 / I20</f>
        <v>9.0909090909090912E-2</v>
      </c>
      <c r="H20">
        <f>H21</f>
        <v>100</v>
      </c>
      <c r="I20">
        <f>I22</f>
        <v>1100</v>
      </c>
      <c r="J20" s="9"/>
      <c r="K20" s="9"/>
      <c r="L20" s="9"/>
    </row>
    <row r="21" spans="1:12" x14ac:dyDescent="0.25">
      <c r="A21" s="4" t="s">
        <v>21</v>
      </c>
      <c r="B21" s="3" t="s">
        <v>27</v>
      </c>
      <c r="C21" t="s">
        <v>18</v>
      </c>
      <c r="D21" s="6" t="s">
        <v>2</v>
      </c>
      <c r="E21" s="6" t="s">
        <v>1</v>
      </c>
      <c r="F21" s="6" t="s">
        <v>6</v>
      </c>
      <c r="G21" t="e">
        <f>H21 / I21</f>
        <v>#DIV/0!</v>
      </c>
      <c r="H21" s="10">
        <v>100</v>
      </c>
      <c r="I21">
        <f>H22</f>
        <v>0</v>
      </c>
      <c r="J21" s="9"/>
      <c r="K21" s="9"/>
      <c r="L21" s="9"/>
    </row>
    <row r="22" spans="1:12" x14ac:dyDescent="0.25">
      <c r="A22" s="4" t="s">
        <v>21</v>
      </c>
      <c r="B22" s="3" t="s">
        <v>27</v>
      </c>
      <c r="C22" t="s">
        <v>18</v>
      </c>
      <c r="D22" s="6" t="s">
        <v>5</v>
      </c>
      <c r="E22" s="6" t="s">
        <v>6</v>
      </c>
      <c r="F22" s="6" t="s">
        <v>7</v>
      </c>
      <c r="G22">
        <f>H22 / I22</f>
        <v>0</v>
      </c>
      <c r="H22" s="10">
        <v>0</v>
      </c>
      <c r="I22" s="10">
        <v>1100</v>
      </c>
      <c r="J22" s="9"/>
      <c r="K22" s="9"/>
      <c r="L22" s="9"/>
    </row>
    <row r="23" spans="1:12" x14ac:dyDescent="0.25">
      <c r="A23" s="4" t="s">
        <v>21</v>
      </c>
      <c r="B23" s="3" t="s">
        <v>28</v>
      </c>
      <c r="C23" t="s">
        <v>18</v>
      </c>
      <c r="D23" s="6" t="s">
        <v>3</v>
      </c>
      <c r="E23" s="6" t="s">
        <v>1</v>
      </c>
      <c r="F23" s="6" t="s">
        <v>7</v>
      </c>
      <c r="G23">
        <f>H23 / I23</f>
        <v>0.1111111111111111</v>
      </c>
      <c r="H23">
        <f>H24</f>
        <v>125</v>
      </c>
      <c r="I23">
        <f>I25</f>
        <v>1125</v>
      </c>
      <c r="J23" s="9"/>
      <c r="K23" s="9"/>
      <c r="L23" s="9"/>
    </row>
    <row r="24" spans="1:12" x14ac:dyDescent="0.25">
      <c r="A24" s="4" t="s">
        <v>21</v>
      </c>
      <c r="B24" s="3" t="s">
        <v>28</v>
      </c>
      <c r="C24" t="s">
        <v>18</v>
      </c>
      <c r="D24" s="6" t="s">
        <v>2</v>
      </c>
      <c r="E24" s="6" t="s">
        <v>1</v>
      </c>
      <c r="F24" s="6" t="s">
        <v>6</v>
      </c>
      <c r="G24" t="e">
        <f>H24 / I24</f>
        <v>#DIV/0!</v>
      </c>
      <c r="H24" s="10">
        <v>125</v>
      </c>
      <c r="I24">
        <f>H25</f>
        <v>0</v>
      </c>
      <c r="J24" s="9"/>
      <c r="K24" s="9"/>
      <c r="L24" s="9"/>
    </row>
    <row r="25" spans="1:12" x14ac:dyDescent="0.25">
      <c r="A25" s="4" t="s">
        <v>21</v>
      </c>
      <c r="B25" s="3" t="s">
        <v>28</v>
      </c>
      <c r="C25" t="s">
        <v>18</v>
      </c>
      <c r="D25" s="6" t="s">
        <v>5</v>
      </c>
      <c r="E25" s="6" t="s">
        <v>6</v>
      </c>
      <c r="F25" s="6" t="s">
        <v>7</v>
      </c>
      <c r="G25">
        <f>H25 / I25</f>
        <v>0</v>
      </c>
      <c r="H25" s="10">
        <v>0</v>
      </c>
      <c r="I25" s="10">
        <v>1125</v>
      </c>
      <c r="J25" s="9"/>
      <c r="K25" s="9"/>
      <c r="L25" s="9"/>
    </row>
    <row r="26" spans="1:12" x14ac:dyDescent="0.25">
      <c r="A26" s="4" t="s">
        <v>21</v>
      </c>
      <c r="B26" s="3" t="s">
        <v>29</v>
      </c>
      <c r="C26" t="s">
        <v>18</v>
      </c>
      <c r="D26" s="6" t="s">
        <v>3</v>
      </c>
      <c r="E26" s="6" t="s">
        <v>1</v>
      </c>
      <c r="F26" s="6" t="s">
        <v>7</v>
      </c>
      <c r="G26">
        <f>H26 / I26</f>
        <v>0.13043478260869565</v>
      </c>
      <c r="H26">
        <f>H27</f>
        <v>150</v>
      </c>
      <c r="I26">
        <f>I28</f>
        <v>1150</v>
      </c>
      <c r="J26" s="9"/>
      <c r="K26" s="9"/>
      <c r="L26" s="9"/>
    </row>
    <row r="27" spans="1:12" x14ac:dyDescent="0.25">
      <c r="A27" s="4" t="s">
        <v>21</v>
      </c>
      <c r="B27" s="3" t="s">
        <v>29</v>
      </c>
      <c r="C27" t="s">
        <v>18</v>
      </c>
      <c r="D27" s="6" t="s">
        <v>2</v>
      </c>
      <c r="E27" s="6" t="s">
        <v>1</v>
      </c>
      <c r="F27" s="6" t="s">
        <v>6</v>
      </c>
      <c r="G27" t="e">
        <f>H27 / I27</f>
        <v>#DIV/0!</v>
      </c>
      <c r="H27" s="10">
        <v>150</v>
      </c>
      <c r="I27">
        <f>H28</f>
        <v>0</v>
      </c>
      <c r="J27" s="9"/>
      <c r="K27" s="9"/>
      <c r="L27" s="9"/>
    </row>
    <row r="28" spans="1:12" x14ac:dyDescent="0.25">
      <c r="A28" s="4" t="s">
        <v>21</v>
      </c>
      <c r="B28" s="3" t="s">
        <v>29</v>
      </c>
      <c r="C28" t="s">
        <v>18</v>
      </c>
      <c r="D28" s="6" t="s">
        <v>5</v>
      </c>
      <c r="E28" s="6" t="s">
        <v>6</v>
      </c>
      <c r="F28" s="6" t="s">
        <v>7</v>
      </c>
      <c r="G28">
        <f>H28 / I28</f>
        <v>0</v>
      </c>
      <c r="H28" s="10">
        <v>0</v>
      </c>
      <c r="I28" s="10">
        <v>1150</v>
      </c>
      <c r="J28" s="9"/>
      <c r="K28" s="9"/>
      <c r="L28" s="9"/>
    </row>
    <row r="29" spans="1:12" x14ac:dyDescent="0.25">
      <c r="A29" s="4" t="s">
        <v>21</v>
      </c>
      <c r="B29" s="3" t="s">
        <v>19</v>
      </c>
      <c r="C29" t="s">
        <v>23</v>
      </c>
      <c r="D29" t="s">
        <v>13</v>
      </c>
      <c r="E29" t="s">
        <v>6</v>
      </c>
      <c r="F29" t="s">
        <v>0</v>
      </c>
      <c r="G29">
        <f>H29 / I29</f>
        <v>6.875</v>
      </c>
      <c r="H29">
        <f>H30</f>
        <v>275</v>
      </c>
      <c r="I29">
        <f>I31</f>
        <v>40</v>
      </c>
    </row>
    <row r="30" spans="1:12" x14ac:dyDescent="0.25">
      <c r="A30" s="4" t="s">
        <v>21</v>
      </c>
      <c r="B30" s="3" t="s">
        <v>19</v>
      </c>
      <c r="C30" t="s">
        <v>23</v>
      </c>
      <c r="D30" t="s">
        <v>8</v>
      </c>
      <c r="E30" t="s">
        <v>6</v>
      </c>
      <c r="F30" t="s">
        <v>4</v>
      </c>
      <c r="G30">
        <f t="shared" ref="G30:G49" si="1">H30 / I30</f>
        <v>5.5</v>
      </c>
      <c r="H30" s="10">
        <v>275</v>
      </c>
      <c r="I30">
        <f>H31</f>
        <v>50</v>
      </c>
    </row>
    <row r="31" spans="1:12" x14ac:dyDescent="0.25">
      <c r="A31" s="4" t="s">
        <v>21</v>
      </c>
      <c r="B31" s="3" t="s">
        <v>19</v>
      </c>
      <c r="C31" t="s">
        <v>23</v>
      </c>
      <c r="D31" t="s">
        <v>12</v>
      </c>
      <c r="E31" t="s">
        <v>4</v>
      </c>
      <c r="F31" t="s">
        <v>0</v>
      </c>
      <c r="G31">
        <f t="shared" si="1"/>
        <v>1.25</v>
      </c>
      <c r="H31" s="10">
        <v>50</v>
      </c>
      <c r="I31" s="10">
        <v>40</v>
      </c>
    </row>
    <row r="32" spans="1:12" x14ac:dyDescent="0.25">
      <c r="A32" s="4" t="s">
        <v>21</v>
      </c>
      <c r="B32" s="3" t="s">
        <v>20</v>
      </c>
      <c r="C32" t="s">
        <v>23</v>
      </c>
      <c r="D32" t="s">
        <v>13</v>
      </c>
      <c r="E32" t="s">
        <v>6</v>
      </c>
      <c r="F32" t="s">
        <v>0</v>
      </c>
      <c r="G32">
        <f>H32 / I32</f>
        <v>6.25</v>
      </c>
      <c r="H32">
        <f>H33</f>
        <v>250</v>
      </c>
      <c r="I32">
        <f>I34</f>
        <v>40</v>
      </c>
    </row>
    <row r="33" spans="1:9" x14ac:dyDescent="0.25">
      <c r="A33" s="4" t="s">
        <v>21</v>
      </c>
      <c r="B33" s="3" t="s">
        <v>20</v>
      </c>
      <c r="C33" t="s">
        <v>23</v>
      </c>
      <c r="D33" t="s">
        <v>8</v>
      </c>
      <c r="E33" t="s">
        <v>6</v>
      </c>
      <c r="F33" t="s">
        <v>4</v>
      </c>
      <c r="G33">
        <f t="shared" ref="G33:G34" si="2">H33 / I33</f>
        <v>5</v>
      </c>
      <c r="H33" s="10">
        <v>250</v>
      </c>
      <c r="I33">
        <f>H34</f>
        <v>50</v>
      </c>
    </row>
    <row r="34" spans="1:9" x14ac:dyDescent="0.25">
      <c r="A34" s="4" t="s">
        <v>21</v>
      </c>
      <c r="B34" s="3" t="s">
        <v>20</v>
      </c>
      <c r="C34" t="s">
        <v>23</v>
      </c>
      <c r="D34" t="s">
        <v>12</v>
      </c>
      <c r="E34" t="s">
        <v>4</v>
      </c>
      <c r="F34" t="s">
        <v>0</v>
      </c>
      <c r="G34">
        <f t="shared" si="2"/>
        <v>1.25</v>
      </c>
      <c r="H34" s="10">
        <v>50</v>
      </c>
      <c r="I34" s="10">
        <v>40</v>
      </c>
    </row>
    <row r="35" spans="1:9" x14ac:dyDescent="0.25">
      <c r="A35" s="4" t="s">
        <v>21</v>
      </c>
      <c r="B35" s="3" t="s">
        <v>27</v>
      </c>
      <c r="C35" t="s">
        <v>23</v>
      </c>
      <c r="D35" t="s">
        <v>13</v>
      </c>
      <c r="E35" t="s">
        <v>6</v>
      </c>
      <c r="F35" t="s">
        <v>0</v>
      </c>
      <c r="G35">
        <f>H35 / I35</f>
        <v>6.875</v>
      </c>
      <c r="H35">
        <f>H36</f>
        <v>275</v>
      </c>
      <c r="I35">
        <f>I37</f>
        <v>40</v>
      </c>
    </row>
    <row r="36" spans="1:9" x14ac:dyDescent="0.25">
      <c r="A36" s="4" t="s">
        <v>21</v>
      </c>
      <c r="B36" s="3" t="s">
        <v>27</v>
      </c>
      <c r="C36" t="s">
        <v>23</v>
      </c>
      <c r="D36" t="s">
        <v>8</v>
      </c>
      <c r="E36" t="s">
        <v>6</v>
      </c>
      <c r="F36" t="s">
        <v>4</v>
      </c>
      <c r="G36">
        <f t="shared" ref="G36:G37" si="3">H36 / I36</f>
        <v>4.583333333333333</v>
      </c>
      <c r="H36" s="10">
        <v>275</v>
      </c>
      <c r="I36">
        <f>H37</f>
        <v>60</v>
      </c>
    </row>
    <row r="37" spans="1:9" x14ac:dyDescent="0.25">
      <c r="A37" s="4" t="s">
        <v>21</v>
      </c>
      <c r="B37" s="3" t="s">
        <v>27</v>
      </c>
      <c r="C37" t="s">
        <v>23</v>
      </c>
      <c r="D37" t="s">
        <v>12</v>
      </c>
      <c r="E37" t="s">
        <v>4</v>
      </c>
      <c r="F37" t="s">
        <v>0</v>
      </c>
      <c r="G37">
        <f t="shared" si="3"/>
        <v>1.5</v>
      </c>
      <c r="H37" s="10">
        <v>60</v>
      </c>
      <c r="I37" s="10">
        <v>40</v>
      </c>
    </row>
    <row r="38" spans="1:9" x14ac:dyDescent="0.25">
      <c r="A38" s="4" t="s">
        <v>21</v>
      </c>
      <c r="B38" s="3" t="s">
        <v>28</v>
      </c>
      <c r="C38" t="s">
        <v>23</v>
      </c>
      <c r="D38" t="s">
        <v>13</v>
      </c>
      <c r="E38" t="s">
        <v>6</v>
      </c>
      <c r="F38" t="s">
        <v>0</v>
      </c>
      <c r="G38">
        <f>H38 / I38</f>
        <v>5</v>
      </c>
      <c r="H38">
        <f>H39</f>
        <v>300</v>
      </c>
      <c r="I38">
        <f>I40</f>
        <v>60</v>
      </c>
    </row>
    <row r="39" spans="1:9" x14ac:dyDescent="0.25">
      <c r="A39" s="4" t="s">
        <v>21</v>
      </c>
      <c r="B39" s="3" t="s">
        <v>28</v>
      </c>
      <c r="C39" t="s">
        <v>23</v>
      </c>
      <c r="D39" t="s">
        <v>8</v>
      </c>
      <c r="E39" t="s">
        <v>6</v>
      </c>
      <c r="F39" t="s">
        <v>4</v>
      </c>
      <c r="G39">
        <f t="shared" ref="G39:G40" si="4">H39 / I39</f>
        <v>6</v>
      </c>
      <c r="H39" s="10">
        <v>300</v>
      </c>
      <c r="I39">
        <f>H40</f>
        <v>50</v>
      </c>
    </row>
    <row r="40" spans="1:9" x14ac:dyDescent="0.25">
      <c r="A40" s="4" t="s">
        <v>21</v>
      </c>
      <c r="B40" s="3" t="s">
        <v>28</v>
      </c>
      <c r="C40" t="s">
        <v>23</v>
      </c>
      <c r="D40" t="s">
        <v>12</v>
      </c>
      <c r="E40" t="s">
        <v>4</v>
      </c>
      <c r="F40" t="s">
        <v>0</v>
      </c>
      <c r="G40">
        <f t="shared" si="4"/>
        <v>0.83333333333333337</v>
      </c>
      <c r="H40" s="10">
        <v>50</v>
      </c>
      <c r="I40" s="10">
        <v>60</v>
      </c>
    </row>
    <row r="41" spans="1:9" x14ac:dyDescent="0.25">
      <c r="A41" s="4" t="s">
        <v>21</v>
      </c>
      <c r="B41" s="3" t="s">
        <v>29</v>
      </c>
      <c r="C41" t="s">
        <v>23</v>
      </c>
      <c r="D41" t="s">
        <v>13</v>
      </c>
      <c r="E41" t="s">
        <v>6</v>
      </c>
      <c r="F41" t="s">
        <v>0</v>
      </c>
      <c r="G41">
        <f>H41 / I41</f>
        <v>5</v>
      </c>
      <c r="H41">
        <f>H42</f>
        <v>300</v>
      </c>
      <c r="I41">
        <f>I43</f>
        <v>60</v>
      </c>
    </row>
    <row r="42" spans="1:9" x14ac:dyDescent="0.25">
      <c r="A42" s="4" t="s">
        <v>21</v>
      </c>
      <c r="B42" s="3" t="s">
        <v>29</v>
      </c>
      <c r="C42" t="s">
        <v>23</v>
      </c>
      <c r="D42" t="s">
        <v>8</v>
      </c>
      <c r="E42" t="s">
        <v>6</v>
      </c>
      <c r="F42" t="s">
        <v>4</v>
      </c>
      <c r="G42">
        <f t="shared" ref="G42:G43" si="5">H42 / I42</f>
        <v>5</v>
      </c>
      <c r="H42" s="10">
        <v>300</v>
      </c>
      <c r="I42">
        <f>H43</f>
        <v>60</v>
      </c>
    </row>
    <row r="43" spans="1:9" x14ac:dyDescent="0.25">
      <c r="A43" s="4" t="s">
        <v>21</v>
      </c>
      <c r="B43" s="3" t="s">
        <v>29</v>
      </c>
      <c r="C43" t="s">
        <v>23</v>
      </c>
      <c r="D43" t="s">
        <v>12</v>
      </c>
      <c r="E43" t="s">
        <v>4</v>
      </c>
      <c r="F43" t="s">
        <v>0</v>
      </c>
      <c r="G43">
        <f t="shared" si="5"/>
        <v>1</v>
      </c>
      <c r="H43" s="10">
        <v>60</v>
      </c>
      <c r="I43" s="10">
        <v>60</v>
      </c>
    </row>
    <row r="44" spans="1:9" x14ac:dyDescent="0.25">
      <c r="A44" s="5" t="s">
        <v>22</v>
      </c>
      <c r="B44" s="3" t="s">
        <v>20</v>
      </c>
      <c r="C44" t="s">
        <v>18</v>
      </c>
      <c r="D44" s="6" t="s">
        <v>3</v>
      </c>
      <c r="E44" s="6" t="s">
        <v>1</v>
      </c>
      <c r="F44" s="6" t="s">
        <v>7</v>
      </c>
      <c r="G44">
        <f t="shared" si="1"/>
        <v>9.9999999999999991E-11</v>
      </c>
      <c r="H44">
        <f>H45</f>
        <v>9.9999999999999995E-8</v>
      </c>
      <c r="I44">
        <f>I46</f>
        <v>1000</v>
      </c>
    </row>
    <row r="45" spans="1:9" x14ac:dyDescent="0.25">
      <c r="A45" s="5" t="s">
        <v>22</v>
      </c>
      <c r="B45" s="3" t="s">
        <v>20</v>
      </c>
      <c r="C45" t="s">
        <v>18</v>
      </c>
      <c r="D45" s="6" t="s">
        <v>2</v>
      </c>
      <c r="E45" s="6" t="s">
        <v>1</v>
      </c>
      <c r="F45" s="6" t="s">
        <v>6</v>
      </c>
      <c r="G45">
        <f t="shared" si="1"/>
        <v>1</v>
      </c>
      <c r="H45" s="10">
        <v>9.9999999999999995E-8</v>
      </c>
      <c r="I45">
        <f>H46</f>
        <v>9.9999999999999995E-8</v>
      </c>
    </row>
    <row r="46" spans="1:9" x14ac:dyDescent="0.25">
      <c r="A46" s="5" t="s">
        <v>22</v>
      </c>
      <c r="B46" s="3" t="s">
        <v>20</v>
      </c>
      <c r="C46" t="s">
        <v>18</v>
      </c>
      <c r="D46" s="6" t="s">
        <v>5</v>
      </c>
      <c r="E46" s="6" t="s">
        <v>6</v>
      </c>
      <c r="F46" s="6" t="s">
        <v>7</v>
      </c>
      <c r="G46">
        <f t="shared" si="1"/>
        <v>9.9999999999999991E-11</v>
      </c>
      <c r="H46" s="10">
        <v>9.9999999999999995E-8</v>
      </c>
      <c r="I46" s="10">
        <v>1000</v>
      </c>
    </row>
    <row r="47" spans="1:9" x14ac:dyDescent="0.25">
      <c r="A47" s="5" t="s">
        <v>22</v>
      </c>
      <c r="B47" s="3" t="s">
        <v>20</v>
      </c>
      <c r="C47" t="s">
        <v>23</v>
      </c>
      <c r="D47" t="s">
        <v>13</v>
      </c>
      <c r="E47" t="s">
        <v>6</v>
      </c>
      <c r="F47" t="s">
        <v>0</v>
      </c>
      <c r="G47">
        <f t="shared" si="1"/>
        <v>0</v>
      </c>
      <c r="H47">
        <f>H48</f>
        <v>0</v>
      </c>
      <c r="I47">
        <f>I49</f>
        <v>160</v>
      </c>
    </row>
    <row r="48" spans="1:9" x14ac:dyDescent="0.25">
      <c r="A48" s="5" t="s">
        <v>22</v>
      </c>
      <c r="B48" s="3" t="s">
        <v>20</v>
      </c>
      <c r="C48" t="s">
        <v>23</v>
      </c>
      <c r="D48" t="s">
        <v>8</v>
      </c>
      <c r="E48" t="s">
        <v>6</v>
      </c>
      <c r="F48" t="s">
        <v>4</v>
      </c>
      <c r="G48" t="e">
        <f t="shared" si="1"/>
        <v>#DIV/0!</v>
      </c>
      <c r="H48" s="10"/>
      <c r="I48">
        <f>H49</f>
        <v>0</v>
      </c>
    </row>
    <row r="49" spans="1:9" x14ac:dyDescent="0.25">
      <c r="A49" s="5" t="s">
        <v>22</v>
      </c>
      <c r="B49" s="3" t="s">
        <v>20</v>
      </c>
      <c r="C49" t="s">
        <v>23</v>
      </c>
      <c r="D49" t="s">
        <v>12</v>
      </c>
      <c r="E49" t="s">
        <v>4</v>
      </c>
      <c r="F49" t="s">
        <v>0</v>
      </c>
      <c r="G49">
        <f t="shared" si="1"/>
        <v>0</v>
      </c>
      <c r="H49" s="10">
        <v>0</v>
      </c>
      <c r="I49" s="10">
        <v>160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998576-175A-4784-9339-570E26BB47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2025-02-21T14:31:05Z</dcterms:created>
  <dcterms:modified xsi:type="dcterms:W3CDTF">2026-05-13T11:02:09Z</dcterms:modified>
</cp:coreProperties>
</file>