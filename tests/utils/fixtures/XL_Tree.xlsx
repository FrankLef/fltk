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ublic\MyPy\Packages\fltk\tests\utils\fixtures\"/>
    </mc:Choice>
  </mc:AlternateContent>
  <xr:revisionPtr revIDLastSave="0" documentId="8_{CC16FB2F-9495-4ABB-A4CE-BA9193B1B3D9}" xr6:coauthVersionLast="47" xr6:coauthVersionMax="47" xr10:uidLastSave="{00000000-0000-0000-0000-000000000000}"/>
  <bookViews>
    <workbookView xWindow="-120" yWindow="-120" windowWidth="38640" windowHeight="15720" firstSheet="13" activeTab="14" xr2:uid="{00000000-000D-0000-FFFF-FFFF00000000}"/>
  </bookViews>
  <sheets>
    <sheet name="Feuil2" sheetId="26" r:id="rId1"/>
    <sheet name="Check List" sheetId="25" r:id="rId2"/>
    <sheet name="Smoothing" sheetId="10" r:id="rId3"/>
    <sheet name="Feuil1" sheetId="21" r:id="rId4"/>
    <sheet name="ErrorMargin" sheetId="11" r:id="rId5"/>
    <sheet name="Clusters Anova" sheetId="24" r:id="rId6"/>
    <sheet name="Clusters Median" sheetId="22" r:id="rId7"/>
    <sheet name="Clusters Factory" sheetId="20" r:id="rId8"/>
    <sheet name="Clusters_1" sheetId="13" r:id="rId9"/>
    <sheet name="CompleteLinkage" sheetId="12" r:id="rId10"/>
    <sheet name="tbl_Clusters" sheetId="19" r:id="rId11"/>
    <sheet name="tbl_Clusters_Items" sheetId="17" r:id="rId12"/>
    <sheet name="tbl_Clusters_Distances" sheetId="18" r:id="rId13"/>
    <sheet name="tree_graph" sheetId="15" r:id="rId14"/>
    <sheet name="tree_table" sheetId="16" r:id="rId15"/>
  </sheets>
  <definedNames>
    <definedName name="_xlnm._FilterDatabase" localSheetId="12" hidden="1">tbl_Clusters_Distances!$A$1:$G$22</definedName>
    <definedName name="_xlnm._FilterDatabase" localSheetId="11" hidden="1">tbl_Clusters_Items!$A$1:$G$8</definedName>
    <definedName name="_xlnm._FilterDatabase" localSheetId="14" hidden="1">tree_table!$A$1:$E$14</definedName>
    <definedName name="rng_ClustersDetails">'Clusters Factory'!$A$2:$G$32</definedName>
    <definedName name="rng_ClustersDetails_CenterDist">INDEX(rng_ClustersDetails,0,6)</definedName>
    <definedName name="rng_ClustersDetails_Cluster">INDEX(rng_ClustersDetails,0,5)</definedName>
    <definedName name="rng_ClustersDetails_Labor">INDEX(rng_ClustersDetails,0,3)</definedName>
    <definedName name="rng_ClustersDetails_Material">INDEX(rng_ClustersDetails,0,2)</definedName>
    <definedName name="rng_ClustersDetails_Product">INDEX(rng_ClustersDetails,0,1)</definedName>
    <definedName name="rng_ClustersDetails_Total">INDEX(rng_ClustersDetails,0,4)</definedName>
    <definedName name="rng_ClustersDetails_Z">INDEX(rng_ClustersDetails,0,7)</definedName>
    <definedName name="solver_adj" localSheetId="9" hidden="1">CompleteLinkage!#REF!</definedName>
    <definedName name="solver_cvg" localSheetId="9" hidden="1">0.0001</definedName>
    <definedName name="solver_drv" localSheetId="9" hidden="1">2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lhs1" localSheetId="9" hidden="1">CompleteLinkage!#REF!</definedName>
    <definedName name="solver_lhs10" localSheetId="9" hidden="1">CompleteLinkage!#REF!</definedName>
    <definedName name="solver_lhs2" localSheetId="9" hidden="1">CompleteLinkage!#REF!</definedName>
    <definedName name="solver_lhs3" localSheetId="9" hidden="1">CompleteLinkage!#REF!</definedName>
    <definedName name="solver_lhs4" localSheetId="9" hidden="1">CompleteLinkage!#REF!</definedName>
    <definedName name="solver_lhs5" localSheetId="9" hidden="1">CompleteLinkage!#REF!</definedName>
    <definedName name="solver_lhs6" localSheetId="9" hidden="1">CompleteLinkage!#REF!</definedName>
    <definedName name="solver_lhs7" localSheetId="9" hidden="1">CompleteLinkage!#REF!</definedName>
    <definedName name="solver_lhs8" localSheetId="9" hidden="1">CompleteLinkage!#REF!</definedName>
    <definedName name="solver_lhs9" localSheetId="9" hidden="1">CompleteLinkage!#REF!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2</definedName>
    <definedName name="solver_nod" localSheetId="9" hidden="1">2147483647</definedName>
    <definedName name="solver_num" localSheetId="9" hidden="1">10</definedName>
    <definedName name="solver_nwt" localSheetId="9" hidden="1">1</definedName>
    <definedName name="solver_opt" localSheetId="9" hidden="1">CompleteLinkage!#REF!</definedName>
    <definedName name="solver_pre" localSheetId="9" hidden="1">0.000001</definedName>
    <definedName name="solver_rbv" localSheetId="9" hidden="1">1</definedName>
    <definedName name="solver_rel1" localSheetId="9" hidden="1">2</definedName>
    <definedName name="solver_rel10" localSheetId="9" hidden="1">2</definedName>
    <definedName name="solver_rel2" localSheetId="9" hidden="1">2</definedName>
    <definedName name="solver_rel3" localSheetId="9" hidden="1">2</definedName>
    <definedName name="solver_rel4" localSheetId="9" hidden="1">2</definedName>
    <definedName name="solver_rel5" localSheetId="9" hidden="1">2</definedName>
    <definedName name="solver_rel6" localSheetId="9" hidden="1">2</definedName>
    <definedName name="solver_rel7" localSheetId="9" hidden="1">2</definedName>
    <definedName name="solver_rel8" localSheetId="9" hidden="1">2</definedName>
    <definedName name="solver_rel9" localSheetId="9" hidden="1">2</definedName>
    <definedName name="solver_rhs1" localSheetId="9" hidden="1">CompleteLinkage!#REF!</definedName>
    <definedName name="solver_rhs10" localSheetId="9" hidden="1">CompleteLinkage!#REF!</definedName>
    <definedName name="solver_rhs2" localSheetId="9" hidden="1">CompleteLinkage!#REF!</definedName>
    <definedName name="solver_rhs3" localSheetId="9" hidden="1">CompleteLinkage!#REF!</definedName>
    <definedName name="solver_rhs4" localSheetId="9" hidden="1">CompleteLinkage!#REF!</definedName>
    <definedName name="solver_rhs5" localSheetId="9" hidden="1">CompleteLinkage!#REF!</definedName>
    <definedName name="solver_rhs6" localSheetId="9" hidden="1">CompleteLinkage!#REF!</definedName>
    <definedName name="solver_rhs7" localSheetId="9" hidden="1">CompleteLinkage!#REF!</definedName>
    <definedName name="solver_rhs8" localSheetId="9" hidden="1">CompleteLinkage!#REF!</definedName>
    <definedName name="solver_rhs9" localSheetId="9" hidden="1">CompleteLinkage!#REF!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tbl_CalWeeks">#REF!</definedName>
    <definedName name="vCie">#REF!</definedName>
    <definedName name="vDamping">#REF!</definedName>
    <definedName name="vSep">#REF!</definedName>
  </definedNames>
  <calcPr calcId="181029"/>
</workbook>
</file>

<file path=xl/calcChain.xml><?xml version="1.0" encoding="utf-8"?>
<calcChain xmlns="http://schemas.openxmlformats.org/spreadsheetml/2006/main">
  <c r="B7" i="26" l="1"/>
  <c r="B6" i="26"/>
  <c r="B5" i="26"/>
  <c r="B4" i="26"/>
  <c r="B3" i="26"/>
  <c r="B2" i="26"/>
  <c r="G2" i="26" l="1"/>
  <c r="G3" i="26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C51" i="24" l="1"/>
  <c r="C50" i="24"/>
  <c r="C49" i="24"/>
  <c r="C48" i="24"/>
  <c r="C47" i="24"/>
  <c r="C26" i="24" l="1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14" i="24" l="1"/>
  <c r="C13" i="24"/>
  <c r="C12" i="24"/>
  <c r="C11" i="24"/>
  <c r="E49" i="20"/>
  <c r="E8" i="17" l="1"/>
  <c r="E7" i="17"/>
  <c r="E6" i="17"/>
  <c r="E5" i="17"/>
  <c r="E4" i="17"/>
  <c r="E3" i="17"/>
  <c r="E2" i="17"/>
  <c r="E14" i="12"/>
  <c r="K12" i="12" s="1"/>
  <c r="D14" i="12"/>
  <c r="D13" i="12"/>
  <c r="J12" i="12" s="1"/>
  <c r="K5" i="12"/>
  <c r="J5" i="12"/>
  <c r="K4" i="12"/>
  <c r="J4" i="12"/>
  <c r="L4" i="12" s="1"/>
  <c r="C13" i="12" s="1"/>
  <c r="C20" i="12" s="1"/>
  <c r="K18" i="12" s="1"/>
  <c r="K3" i="12"/>
  <c r="J3" i="12"/>
  <c r="C41" i="13"/>
  <c r="D41" i="13" s="1"/>
  <c r="C39" i="13"/>
  <c r="D39" i="13" s="1"/>
  <c r="C38" i="13"/>
  <c r="D38" i="13" s="1"/>
  <c r="C32" i="13"/>
  <c r="D32" i="13" s="1"/>
  <c r="C31" i="13"/>
  <c r="D31" i="13" s="1"/>
  <c r="C30" i="13"/>
  <c r="D30" i="13" s="1"/>
  <c r="C27" i="13"/>
  <c r="D27" i="13" s="1"/>
  <c r="C26" i="13"/>
  <c r="D26" i="13" s="1"/>
  <c r="C25" i="13"/>
  <c r="D25" i="13" s="1"/>
  <c r="C23" i="13"/>
  <c r="F16" i="13"/>
  <c r="E16" i="13"/>
  <c r="C16" i="13"/>
  <c r="B16" i="13"/>
  <c r="E15" i="13"/>
  <c r="C15" i="13"/>
  <c r="B15" i="13"/>
  <c r="C14" i="13"/>
  <c r="B14" i="13"/>
  <c r="B12" i="13"/>
  <c r="C8" i="13"/>
  <c r="B8" i="13"/>
  <c r="B17" i="13" s="1"/>
  <c r="D7" i="13"/>
  <c r="D6" i="13"/>
  <c r="D5" i="13"/>
  <c r="G4" i="13"/>
  <c r="I4" i="13" s="1"/>
  <c r="J4" i="13" s="1"/>
  <c r="D4" i="13"/>
  <c r="C4" i="13"/>
  <c r="H4" i="13" s="1"/>
  <c r="B4" i="13"/>
  <c r="K3" i="13"/>
  <c r="H3" i="13"/>
  <c r="G3" i="13"/>
  <c r="D3" i="13"/>
  <c r="D2" i="13"/>
  <c r="A137" i="20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F128" i="20"/>
  <c r="E128" i="20"/>
  <c r="F127" i="20"/>
  <c r="E127" i="20"/>
  <c r="F126" i="20"/>
  <c r="E126" i="20"/>
  <c r="F125" i="20"/>
  <c r="E125" i="20"/>
  <c r="F124" i="20"/>
  <c r="E124" i="20"/>
  <c r="F123" i="20"/>
  <c r="E123" i="20"/>
  <c r="F122" i="20"/>
  <c r="E122" i="20"/>
  <c r="F121" i="20"/>
  <c r="E121" i="20"/>
  <c r="F120" i="20"/>
  <c r="E120" i="20"/>
  <c r="F119" i="20"/>
  <c r="E119" i="20"/>
  <c r="F117" i="20"/>
  <c r="E117" i="20"/>
  <c r="F116" i="20"/>
  <c r="E116" i="20"/>
  <c r="F115" i="20"/>
  <c r="E115" i="20"/>
  <c r="F114" i="20"/>
  <c r="E114" i="20"/>
  <c r="F113" i="20"/>
  <c r="E113" i="20"/>
  <c r="F112" i="20"/>
  <c r="E112" i="20"/>
  <c r="F111" i="20"/>
  <c r="E111" i="20"/>
  <c r="F110" i="20"/>
  <c r="E110" i="20"/>
  <c r="F109" i="20"/>
  <c r="E109" i="20"/>
  <c r="F108" i="20"/>
  <c r="E108" i="20"/>
  <c r="F107" i="20"/>
  <c r="E107" i="20"/>
  <c r="F106" i="20"/>
  <c r="E106" i="20"/>
  <c r="F105" i="20"/>
  <c r="E105" i="20"/>
  <c r="F104" i="20"/>
  <c r="E104" i="20"/>
  <c r="F103" i="20"/>
  <c r="E103" i="20"/>
  <c r="F102" i="20"/>
  <c r="E102" i="20"/>
  <c r="F101" i="20"/>
  <c r="E101" i="20"/>
  <c r="F100" i="20"/>
  <c r="E100" i="20"/>
  <c r="F99" i="20"/>
  <c r="E99" i="20"/>
  <c r="F98" i="20"/>
  <c r="E98" i="20"/>
  <c r="F97" i="20"/>
  <c r="E97" i="20"/>
  <c r="F95" i="20"/>
  <c r="E95" i="20"/>
  <c r="F94" i="20"/>
  <c r="E94" i="20"/>
  <c r="F93" i="20"/>
  <c r="E93" i="20"/>
  <c r="F92" i="20"/>
  <c r="E92" i="20"/>
  <c r="F91" i="20"/>
  <c r="E91" i="20"/>
  <c r="F90" i="20"/>
  <c r="E90" i="20"/>
  <c r="F89" i="20"/>
  <c r="E89" i="20"/>
  <c r="F88" i="20"/>
  <c r="E88" i="20"/>
  <c r="F87" i="20"/>
  <c r="E87" i="20"/>
  <c r="F86" i="20"/>
  <c r="E86" i="20"/>
  <c r="F85" i="20"/>
  <c r="E85" i="20"/>
  <c r="F84" i="20"/>
  <c r="E84" i="20"/>
  <c r="F83" i="20"/>
  <c r="E83" i="20"/>
  <c r="F82" i="20"/>
  <c r="E82" i="20"/>
  <c r="F81" i="20"/>
  <c r="E81" i="20"/>
  <c r="F80" i="20"/>
  <c r="E80" i="20"/>
  <c r="F79" i="20"/>
  <c r="E79" i="20"/>
  <c r="F78" i="20"/>
  <c r="E78" i="20"/>
  <c r="F77" i="20"/>
  <c r="E77" i="20"/>
  <c r="F76" i="20"/>
  <c r="E76" i="20"/>
  <c r="F75" i="20"/>
  <c r="E75" i="20"/>
  <c r="F73" i="20"/>
  <c r="E73" i="20"/>
  <c r="F72" i="20"/>
  <c r="E72" i="20"/>
  <c r="F71" i="20"/>
  <c r="E71" i="20"/>
  <c r="F70" i="20"/>
  <c r="E70" i="20"/>
  <c r="F69" i="20"/>
  <c r="E69" i="20"/>
  <c r="F68" i="20"/>
  <c r="E68" i="20"/>
  <c r="F67" i="20"/>
  <c r="E67" i="20"/>
  <c r="F66" i="20"/>
  <c r="E66" i="20"/>
  <c r="F65" i="20"/>
  <c r="E65" i="20"/>
  <c r="F64" i="20"/>
  <c r="E64" i="20"/>
  <c r="F63" i="20"/>
  <c r="E63" i="20"/>
  <c r="F62" i="20"/>
  <c r="E62" i="20"/>
  <c r="F61" i="20"/>
  <c r="E61" i="20"/>
  <c r="F60" i="20"/>
  <c r="E60" i="20"/>
  <c r="F59" i="20"/>
  <c r="E59" i="20"/>
  <c r="F58" i="20"/>
  <c r="E58" i="20"/>
  <c r="F57" i="20"/>
  <c r="E57" i="20"/>
  <c r="F56" i="20"/>
  <c r="E56" i="20"/>
  <c r="F55" i="20"/>
  <c r="E55" i="20"/>
  <c r="F54" i="20"/>
  <c r="E54" i="20"/>
  <c r="F53" i="20"/>
  <c r="E53" i="20"/>
  <c r="F40" i="20"/>
  <c r="D40" i="20"/>
  <c r="E40" i="20" s="1"/>
  <c r="B40" i="20"/>
  <c r="F39" i="20"/>
  <c r="E39" i="20"/>
  <c r="C26" i="20" s="1"/>
  <c r="C39" i="20"/>
  <c r="F38" i="20"/>
  <c r="E38" i="20"/>
  <c r="C15" i="20" s="1"/>
  <c r="C38" i="20"/>
  <c r="B17" i="20" s="1"/>
  <c r="F37" i="20"/>
  <c r="E37" i="20"/>
  <c r="C5" i="20" s="1"/>
  <c r="C37" i="20"/>
  <c r="B7" i="20" s="1"/>
  <c r="E33" i="20"/>
  <c r="B18" i="20"/>
  <c r="B16" i="20"/>
  <c r="B15" i="20"/>
  <c r="C14" i="20"/>
  <c r="B13" i="20"/>
  <c r="C12" i="20"/>
  <c r="B12" i="20"/>
  <c r="B4" i="20"/>
  <c r="G15" i="22"/>
  <c r="F15" i="22"/>
  <c r="E15" i="22"/>
  <c r="D15" i="22"/>
  <c r="C15" i="22"/>
  <c r="G13" i="22"/>
  <c r="F13" i="22"/>
  <c r="E13" i="22"/>
  <c r="D13" i="22"/>
  <c r="C13" i="22"/>
  <c r="A8" i="22"/>
  <c r="C36" i="11"/>
  <c r="B36" i="11"/>
  <c r="F36" i="11" s="1"/>
  <c r="C35" i="11"/>
  <c r="B35" i="11"/>
  <c r="F35" i="11" s="1"/>
  <c r="C34" i="11"/>
  <c r="B34" i="11"/>
  <c r="F34" i="11" s="1"/>
  <c r="C33" i="11"/>
  <c r="B33" i="11"/>
  <c r="F33" i="11" s="1"/>
  <c r="C32" i="11"/>
  <c r="B32" i="11"/>
  <c r="F32" i="11" s="1"/>
  <c r="C31" i="11"/>
  <c r="B31" i="11"/>
  <c r="F31" i="11" s="1"/>
  <c r="C30" i="11"/>
  <c r="B30" i="11"/>
  <c r="F30" i="11" s="1"/>
  <c r="C29" i="11"/>
  <c r="B29" i="11"/>
  <c r="F29" i="11" s="1"/>
  <c r="C28" i="11"/>
  <c r="B28" i="11"/>
  <c r="F28" i="11" s="1"/>
  <c r="C27" i="11"/>
  <c r="B27" i="11"/>
  <c r="F27" i="11" s="1"/>
  <c r="C26" i="11"/>
  <c r="B26" i="11"/>
  <c r="F26" i="11" s="1"/>
  <c r="C25" i="11"/>
  <c r="B25" i="11"/>
  <c r="F25" i="11" s="1"/>
  <c r="C24" i="11"/>
  <c r="B24" i="11"/>
  <c r="F24" i="11" s="1"/>
  <c r="C23" i="11"/>
  <c r="B23" i="11"/>
  <c r="F23" i="11" s="1"/>
  <c r="C22" i="11"/>
  <c r="B22" i="11"/>
  <c r="F22" i="11" s="1"/>
  <c r="C21" i="11"/>
  <c r="B21" i="11"/>
  <c r="F21" i="11" s="1"/>
  <c r="C20" i="11"/>
  <c r="B20" i="11"/>
  <c r="F20" i="11" s="1"/>
  <c r="C19" i="11"/>
  <c r="B19" i="11"/>
  <c r="F19" i="11" s="1"/>
  <c r="C18" i="11"/>
  <c r="B18" i="11"/>
  <c r="F18" i="11" s="1"/>
  <c r="C17" i="11"/>
  <c r="B17" i="11"/>
  <c r="F17" i="11" s="1"/>
  <c r="C16" i="11"/>
  <c r="B16" i="11"/>
  <c r="F16" i="11" s="1"/>
  <c r="C15" i="11"/>
  <c r="B15" i="11"/>
  <c r="F15" i="11" s="1"/>
  <c r="C14" i="11"/>
  <c r="B14" i="11"/>
  <c r="F14" i="11" s="1"/>
  <c r="C13" i="11"/>
  <c r="B13" i="11"/>
  <c r="F13" i="11" s="1"/>
  <c r="K7" i="11"/>
  <c r="H12" i="21"/>
  <c r="G12" i="21"/>
  <c r="H11" i="21"/>
  <c r="G11" i="21"/>
  <c r="J10" i="21"/>
  <c r="H10" i="21"/>
  <c r="G10" i="21"/>
  <c r="H9" i="21"/>
  <c r="G9" i="21"/>
  <c r="H8" i="21"/>
  <c r="G8" i="21"/>
  <c r="H7" i="21"/>
  <c r="G7" i="21"/>
  <c r="H6" i="21"/>
  <c r="G6" i="21"/>
  <c r="K1" i="21"/>
  <c r="J1" i="21"/>
  <c r="J12" i="21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F14" i="10"/>
  <c r="G14" i="10" s="1"/>
  <c r="F13" i="10"/>
  <c r="G13" i="10" s="1"/>
  <c r="F12" i="10"/>
  <c r="T2" i="10"/>
  <c r="L2" i="10"/>
  <c r="C20" i="20" l="1"/>
  <c r="C21" i="20"/>
  <c r="C23" i="20"/>
  <c r="C24" i="20"/>
  <c r="J4" i="21"/>
  <c r="C25" i="20"/>
  <c r="B13" i="13"/>
  <c r="I3" i="13"/>
  <c r="J3" i="13" s="1"/>
  <c r="C13" i="13"/>
  <c r="C35" i="13"/>
  <c r="D35" i="13" s="1"/>
  <c r="J6" i="21"/>
  <c r="J11" i="21"/>
  <c r="B8" i="20"/>
  <c r="B14" i="20"/>
  <c r="C76" i="20" s="1"/>
  <c r="D76" i="20" s="1"/>
  <c r="C22" i="20"/>
  <c r="L5" i="12"/>
  <c r="C14" i="12" s="1"/>
  <c r="K11" i="12" s="1"/>
  <c r="C29" i="20"/>
  <c r="C32" i="20"/>
  <c r="C31" i="20"/>
  <c r="C30" i="20"/>
  <c r="K4" i="21"/>
  <c r="B5" i="20"/>
  <c r="D5" i="20" s="1"/>
  <c r="D27" i="24" s="1"/>
  <c r="B9" i="20"/>
  <c r="C17" i="20"/>
  <c r="C91" i="20" s="1"/>
  <c r="D91" i="20" s="1"/>
  <c r="L3" i="12"/>
  <c r="C12" i="12" s="1"/>
  <c r="J11" i="12" s="1"/>
  <c r="B10" i="20"/>
  <c r="C13" i="20"/>
  <c r="D13" i="20" s="1"/>
  <c r="D34" i="24" s="1"/>
  <c r="F41" i="20"/>
  <c r="K4" i="13"/>
  <c r="D15" i="13"/>
  <c r="D16" i="13"/>
  <c r="G12" i="10"/>
  <c r="J7" i="21"/>
  <c r="K7" i="21" s="1"/>
  <c r="B6" i="20"/>
  <c r="C16" i="20"/>
  <c r="C18" i="20"/>
  <c r="C92" i="20" s="1"/>
  <c r="D92" i="20" s="1"/>
  <c r="C28" i="20"/>
  <c r="C24" i="13"/>
  <c r="D24" i="13" s="1"/>
  <c r="C29" i="13"/>
  <c r="D29" i="13" s="1"/>
  <c r="C34" i="13"/>
  <c r="D34" i="13" s="1"/>
  <c r="G33" i="11"/>
  <c r="G35" i="11"/>
  <c r="D15" i="20"/>
  <c r="D36" i="24" s="1"/>
  <c r="G30" i="11"/>
  <c r="G16" i="11"/>
  <c r="G20" i="11"/>
  <c r="G21" i="11"/>
  <c r="G22" i="11"/>
  <c r="G24" i="11"/>
  <c r="G27" i="11"/>
  <c r="G32" i="11"/>
  <c r="G34" i="11"/>
  <c r="G36" i="11"/>
  <c r="B46" i="20"/>
  <c r="G23" i="11"/>
  <c r="G26" i="11"/>
  <c r="G13" i="11"/>
  <c r="G17" i="11"/>
  <c r="G19" i="11"/>
  <c r="G28" i="11"/>
  <c r="G15" i="11"/>
  <c r="C77" i="20"/>
  <c r="D77" i="20" s="1"/>
  <c r="G31" i="11"/>
  <c r="G25" i="11"/>
  <c r="D12" i="20"/>
  <c r="D33" i="24" s="1"/>
  <c r="G18" i="11"/>
  <c r="G15" i="10"/>
  <c r="L5" i="10"/>
  <c r="H13" i="22"/>
  <c r="G14" i="11"/>
  <c r="E17" i="13"/>
  <c r="C28" i="13"/>
  <c r="D28" i="13" s="1"/>
  <c r="D17" i="13"/>
  <c r="G17" i="13"/>
  <c r="C40" i="13"/>
  <c r="D40" i="13" s="1"/>
  <c r="F17" i="13"/>
  <c r="D8" i="13"/>
  <c r="C17" i="13"/>
  <c r="C33" i="13"/>
  <c r="D33" i="13" s="1"/>
  <c r="C37" i="13"/>
  <c r="D37" i="13" s="1"/>
  <c r="J5" i="21"/>
  <c r="K5" i="21" s="1"/>
  <c r="J9" i="21"/>
  <c r="C10" i="20"/>
  <c r="C6" i="20"/>
  <c r="D23" i="13"/>
  <c r="C42" i="13"/>
  <c r="D42" i="13" s="1"/>
  <c r="F36" i="10"/>
  <c r="K12" i="21"/>
  <c r="J8" i="21"/>
  <c r="K8" i="21" s="1"/>
  <c r="F37" i="11"/>
  <c r="G29" i="11"/>
  <c r="C4" i="20"/>
  <c r="C7" i="20"/>
  <c r="C8" i="20"/>
  <c r="C9" i="20"/>
  <c r="B25" i="20"/>
  <c r="B21" i="20"/>
  <c r="B26" i="20"/>
  <c r="B24" i="20"/>
  <c r="B23" i="20"/>
  <c r="B22" i="20"/>
  <c r="B20" i="20"/>
  <c r="C40" i="20"/>
  <c r="B28" i="20" s="1"/>
  <c r="C43" i="13"/>
  <c r="D43" i="13" s="1"/>
  <c r="L12" i="12"/>
  <c r="D20" i="12" s="1"/>
  <c r="K6" i="21"/>
  <c r="K9" i="21"/>
  <c r="K10" i="21"/>
  <c r="K11" i="21"/>
  <c r="D14" i="13"/>
  <c r="C36" i="13"/>
  <c r="D36" i="13" s="1"/>
  <c r="C47" i="20" l="1"/>
  <c r="C87" i="20"/>
  <c r="D87" i="20" s="1"/>
  <c r="D8" i="20"/>
  <c r="D30" i="24" s="1"/>
  <c r="C86" i="20"/>
  <c r="D86" i="20" s="1"/>
  <c r="D14" i="20"/>
  <c r="D35" i="24" s="1"/>
  <c r="L11" i="12"/>
  <c r="C19" i="12" s="1"/>
  <c r="J18" i="12" s="1"/>
  <c r="L18" i="12" s="1"/>
  <c r="C25" i="12" s="1"/>
  <c r="C60" i="20"/>
  <c r="D60" i="20" s="1"/>
  <c r="C89" i="20"/>
  <c r="D89" i="20" s="1"/>
  <c r="C85" i="20"/>
  <c r="D85" i="20" s="1"/>
  <c r="B45" i="20"/>
  <c r="B134" i="20" s="1"/>
  <c r="C84" i="20"/>
  <c r="D84" i="20" s="1"/>
  <c r="D18" i="20"/>
  <c r="D39" i="24" s="1"/>
  <c r="C80" i="20"/>
  <c r="D80" i="20" s="1"/>
  <c r="C93" i="20"/>
  <c r="D93" i="20" s="1"/>
  <c r="C82" i="20"/>
  <c r="D82" i="20" s="1"/>
  <c r="C46" i="20"/>
  <c r="F13" i="20" s="1"/>
  <c r="D16" i="20"/>
  <c r="D37" i="24" s="1"/>
  <c r="C95" i="20"/>
  <c r="D95" i="20" s="1"/>
  <c r="C75" i="20"/>
  <c r="D75" i="20" s="1"/>
  <c r="C78" i="20"/>
  <c r="D78" i="20" s="1"/>
  <c r="D17" i="20"/>
  <c r="D38" i="24" s="1"/>
  <c r="C48" i="20"/>
  <c r="C90" i="20"/>
  <c r="D90" i="20" s="1"/>
  <c r="C83" i="20"/>
  <c r="D83" i="20" s="1"/>
  <c r="C81" i="20"/>
  <c r="D81" i="20" s="1"/>
  <c r="C88" i="20"/>
  <c r="D88" i="20" s="1"/>
  <c r="C94" i="20"/>
  <c r="D94" i="20" s="1"/>
  <c r="C79" i="20"/>
  <c r="D79" i="20" s="1"/>
  <c r="G36" i="10"/>
  <c r="P10" i="10" s="1"/>
  <c r="P12" i="10" s="1"/>
  <c r="C59" i="20"/>
  <c r="D59" i="20" s="1"/>
  <c r="K5" i="10"/>
  <c r="H21" i="10" s="1"/>
  <c r="I21" i="10" s="1"/>
  <c r="C49" i="20"/>
  <c r="C98" i="20"/>
  <c r="D98" i="20" s="1"/>
  <c r="C57" i="20"/>
  <c r="D57" i="20" s="1"/>
  <c r="C111" i="20"/>
  <c r="D111" i="20" s="1"/>
  <c r="C97" i="20"/>
  <c r="D97" i="20" s="1"/>
  <c r="C61" i="20"/>
  <c r="D61" i="20" s="1"/>
  <c r="C107" i="20"/>
  <c r="D107" i="20" s="1"/>
  <c r="C68" i="20"/>
  <c r="D68" i="20" s="1"/>
  <c r="C64" i="20"/>
  <c r="D64" i="20" s="1"/>
  <c r="C71" i="20"/>
  <c r="D71" i="20" s="1"/>
  <c r="D23" i="20"/>
  <c r="D43" i="24" s="1"/>
  <c r="C112" i="20"/>
  <c r="D112" i="20" s="1"/>
  <c r="C117" i="20"/>
  <c r="D117" i="20" s="1"/>
  <c r="C101" i="20"/>
  <c r="D101" i="20" s="1"/>
  <c r="D25" i="20"/>
  <c r="D45" i="24" s="1"/>
  <c r="D28" i="20"/>
  <c r="D47" i="24" s="1"/>
  <c r="D10" i="20"/>
  <c r="D32" i="24" s="1"/>
  <c r="C99" i="20"/>
  <c r="D99" i="20" s="1"/>
  <c r="C58" i="20"/>
  <c r="D58" i="20" s="1"/>
  <c r="C73" i="20"/>
  <c r="D73" i="20" s="1"/>
  <c r="C70" i="20"/>
  <c r="D70" i="20" s="1"/>
  <c r="C115" i="20"/>
  <c r="D115" i="20" s="1"/>
  <c r="B32" i="20"/>
  <c r="C122" i="20" s="1"/>
  <c r="D122" i="20" s="1"/>
  <c r="B31" i="20"/>
  <c r="D24" i="20"/>
  <c r="D44" i="24" s="1"/>
  <c r="C45" i="20"/>
  <c r="D4" i="20"/>
  <c r="C116" i="20"/>
  <c r="D116" i="20" s="1"/>
  <c r="B29" i="20"/>
  <c r="C72" i="20"/>
  <c r="D72" i="20" s="1"/>
  <c r="C55" i="20"/>
  <c r="D55" i="20" s="1"/>
  <c r="H29" i="10"/>
  <c r="I29" i="10" s="1"/>
  <c r="H25" i="10"/>
  <c r="I25" i="10" s="1"/>
  <c r="H22" i="10"/>
  <c r="I22" i="10" s="1"/>
  <c r="H31" i="10"/>
  <c r="I31" i="10" s="1"/>
  <c r="H15" i="10"/>
  <c r="H32" i="10"/>
  <c r="I32" i="10" s="1"/>
  <c r="C69" i="20"/>
  <c r="D69" i="20" s="1"/>
  <c r="C53" i="20"/>
  <c r="D53" i="20" s="1"/>
  <c r="C66" i="20"/>
  <c r="D66" i="20" s="1"/>
  <c r="C113" i="20"/>
  <c r="D113" i="20" s="1"/>
  <c r="B47" i="20"/>
  <c r="D20" i="20"/>
  <c r="D40" i="24" s="1"/>
  <c r="C102" i="20"/>
  <c r="D102" i="20" s="1"/>
  <c r="D26" i="20"/>
  <c r="D46" i="24" s="1"/>
  <c r="N10" i="10"/>
  <c r="N12" i="10" s="1"/>
  <c r="O10" i="10"/>
  <c r="C44" i="13"/>
  <c r="C114" i="20"/>
  <c r="D114" i="20" s="1"/>
  <c r="C63" i="20"/>
  <c r="D63" i="20" s="1"/>
  <c r="B30" i="20"/>
  <c r="L6" i="11"/>
  <c r="C110" i="20"/>
  <c r="D110" i="20" s="1"/>
  <c r="C67" i="20"/>
  <c r="D67" i="20" s="1"/>
  <c r="C65" i="20"/>
  <c r="D65" i="20" s="1"/>
  <c r="D9" i="20"/>
  <c r="D31" i="24" s="1"/>
  <c r="C62" i="20"/>
  <c r="D62" i="20" s="1"/>
  <c r="C108" i="20"/>
  <c r="D108" i="20" s="1"/>
  <c r="C109" i="20"/>
  <c r="D109" i="20" s="1"/>
  <c r="D22" i="20"/>
  <c r="D42" i="24" s="1"/>
  <c r="C105" i="20"/>
  <c r="D105" i="20" s="1"/>
  <c r="D21" i="20"/>
  <c r="D41" i="24" s="1"/>
  <c r="C106" i="20"/>
  <c r="D106" i="20" s="1"/>
  <c r="D7" i="20"/>
  <c r="D29" i="24" s="1"/>
  <c r="D44" i="13"/>
  <c r="G24" i="13"/>
  <c r="G23" i="13"/>
  <c r="C103" i="20"/>
  <c r="D103" i="20" s="1"/>
  <c r="C56" i="20"/>
  <c r="D56" i="20" s="1"/>
  <c r="C104" i="20"/>
  <c r="D104" i="20" s="1"/>
  <c r="C54" i="20"/>
  <c r="D54" i="20" s="1"/>
  <c r="D6" i="20"/>
  <c r="D28" i="24" s="1"/>
  <c r="C100" i="20"/>
  <c r="D100" i="20" s="1"/>
  <c r="I15" i="10"/>
  <c r="K6" i="11"/>
  <c r="G37" i="11"/>
  <c r="H20" i="10" l="1"/>
  <c r="I20" i="10" s="1"/>
  <c r="H34" i="10"/>
  <c r="I34" i="10" s="1"/>
  <c r="H28" i="10"/>
  <c r="I28" i="10" s="1"/>
  <c r="H13" i="10"/>
  <c r="I13" i="10" s="1"/>
  <c r="H27" i="10"/>
  <c r="I27" i="10" s="1"/>
  <c r="Q10" i="10"/>
  <c r="O12" i="10"/>
  <c r="H18" i="10"/>
  <c r="I18" i="10" s="1"/>
  <c r="J18" i="10" s="1"/>
  <c r="D45" i="20"/>
  <c r="D12" i="24"/>
  <c r="E36" i="24" s="1"/>
  <c r="F12" i="20"/>
  <c r="F18" i="20"/>
  <c r="F17" i="20"/>
  <c r="F16" i="20"/>
  <c r="D46" i="20"/>
  <c r="F14" i="20"/>
  <c r="F15" i="20"/>
  <c r="H16" i="10"/>
  <c r="I16" i="10" s="1"/>
  <c r="H19" i="10"/>
  <c r="I19" i="10" s="1"/>
  <c r="H35" i="10"/>
  <c r="I35" i="10" s="1"/>
  <c r="J35" i="10" s="1"/>
  <c r="H26" i="10"/>
  <c r="I26" i="10" s="1"/>
  <c r="K26" i="10" s="1"/>
  <c r="L26" i="10" s="1"/>
  <c r="H17" i="10"/>
  <c r="I17" i="10" s="1"/>
  <c r="H33" i="10"/>
  <c r="I33" i="10" s="1"/>
  <c r="H12" i="10"/>
  <c r="H24" i="10"/>
  <c r="I24" i="10" s="1"/>
  <c r="J24" i="10" s="1"/>
  <c r="H23" i="10"/>
  <c r="I23" i="10" s="1"/>
  <c r="H14" i="10"/>
  <c r="I14" i="10" s="1"/>
  <c r="H30" i="10"/>
  <c r="I30" i="10" s="1"/>
  <c r="K30" i="10" s="1"/>
  <c r="L30" i="10" s="1"/>
  <c r="Q12" i="10"/>
  <c r="L6" i="10" a="1"/>
  <c r="L6" i="10" s="1"/>
  <c r="K6" i="10" s="1"/>
  <c r="F4" i="20"/>
  <c r="D13" i="24"/>
  <c r="D26" i="24"/>
  <c r="D47" i="20"/>
  <c r="B49" i="20"/>
  <c r="K15" i="10"/>
  <c r="L15" i="10" s="1"/>
  <c r="J15" i="10"/>
  <c r="D30" i="20"/>
  <c r="D49" i="24" s="1"/>
  <c r="C126" i="20"/>
  <c r="D126" i="20" s="1"/>
  <c r="C127" i="20"/>
  <c r="D127" i="20" s="1"/>
  <c r="K28" i="10"/>
  <c r="L28" i="10" s="1"/>
  <c r="J28" i="10"/>
  <c r="K31" i="10"/>
  <c r="L31" i="10" s="1"/>
  <c r="J31" i="10"/>
  <c r="K22" i="10"/>
  <c r="L22" i="10" s="1"/>
  <c r="J22" i="10"/>
  <c r="K13" i="10"/>
  <c r="L13" i="10" s="1"/>
  <c r="J13" i="10"/>
  <c r="K29" i="10"/>
  <c r="L29" i="10" s="1"/>
  <c r="J29" i="10"/>
  <c r="C120" i="20"/>
  <c r="D120" i="20" s="1"/>
  <c r="F24" i="20"/>
  <c r="F23" i="20"/>
  <c r="N13" i="10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F26" i="20"/>
  <c r="K16" i="10"/>
  <c r="L16" i="10" s="1"/>
  <c r="J16" i="10"/>
  <c r="K19" i="10"/>
  <c r="L19" i="10" s="1"/>
  <c r="J19" i="10"/>
  <c r="K35" i="10"/>
  <c r="L35" i="10" s="1"/>
  <c r="K17" i="10"/>
  <c r="L17" i="10" s="1"/>
  <c r="J17" i="10"/>
  <c r="K33" i="10"/>
  <c r="L33" i="10" s="1"/>
  <c r="J33" i="10"/>
  <c r="B48" i="20"/>
  <c r="F25" i="20"/>
  <c r="H35" i="11"/>
  <c r="I35" i="11" s="1"/>
  <c r="H31" i="11"/>
  <c r="I31" i="11" s="1"/>
  <c r="H32" i="11"/>
  <c r="I32" i="11" s="1"/>
  <c r="H30" i="11"/>
  <c r="I30" i="11" s="1"/>
  <c r="H25" i="11"/>
  <c r="I25" i="11" s="1"/>
  <c r="H21" i="11"/>
  <c r="I21" i="11" s="1"/>
  <c r="H17" i="11"/>
  <c r="I17" i="11" s="1"/>
  <c r="H13" i="11"/>
  <c r="H36" i="11"/>
  <c r="I36" i="11" s="1"/>
  <c r="H34" i="11"/>
  <c r="I34" i="11" s="1"/>
  <c r="H33" i="11"/>
  <c r="I33" i="11" s="1"/>
  <c r="H27" i="11"/>
  <c r="I27" i="11" s="1"/>
  <c r="H18" i="11"/>
  <c r="I18" i="11" s="1"/>
  <c r="H16" i="11"/>
  <c r="I16" i="11" s="1"/>
  <c r="H28" i="11"/>
  <c r="I28" i="11" s="1"/>
  <c r="H23" i="11"/>
  <c r="I23" i="11" s="1"/>
  <c r="H14" i="11"/>
  <c r="I14" i="11" s="1"/>
  <c r="H29" i="11"/>
  <c r="I29" i="11" s="1"/>
  <c r="H26" i="11"/>
  <c r="I26" i="11" s="1"/>
  <c r="H24" i="11"/>
  <c r="I24" i="11" s="1"/>
  <c r="H19" i="11"/>
  <c r="I19" i="11" s="1"/>
  <c r="H22" i="11"/>
  <c r="I22" i="11" s="1"/>
  <c r="H20" i="11"/>
  <c r="I20" i="11" s="1"/>
  <c r="H15" i="11"/>
  <c r="I15" i="11" s="1"/>
  <c r="F20" i="20"/>
  <c r="K24" i="10"/>
  <c r="L24" i="10" s="1"/>
  <c r="K23" i="10"/>
  <c r="L23" i="10" s="1"/>
  <c r="J23" i="10"/>
  <c r="K14" i="10"/>
  <c r="L14" i="10" s="1"/>
  <c r="J14" i="10"/>
  <c r="K21" i="10"/>
  <c r="L21" i="10" s="1"/>
  <c r="J21" i="10"/>
  <c r="C134" i="20"/>
  <c r="F6" i="20"/>
  <c r="F5" i="20"/>
  <c r="F8" i="20"/>
  <c r="D31" i="20"/>
  <c r="D50" i="24" s="1"/>
  <c r="C128" i="20"/>
  <c r="D128" i="20" s="1"/>
  <c r="C121" i="20"/>
  <c r="D121" i="20" s="1"/>
  <c r="F7" i="20"/>
  <c r="F21" i="20"/>
  <c r="F22" i="20"/>
  <c r="D134" i="20"/>
  <c r="K20" i="10"/>
  <c r="L20" i="10" s="1"/>
  <c r="J20" i="10"/>
  <c r="K32" i="10"/>
  <c r="L32" i="10" s="1"/>
  <c r="J32" i="10"/>
  <c r="K27" i="10"/>
  <c r="L27" i="10" s="1"/>
  <c r="J27" i="10"/>
  <c r="K18" i="10"/>
  <c r="L18" i="10" s="1"/>
  <c r="K34" i="10"/>
  <c r="L34" i="10" s="1"/>
  <c r="J34" i="10"/>
  <c r="K25" i="10"/>
  <c r="L25" i="10" s="1"/>
  <c r="J25" i="10"/>
  <c r="D29" i="20"/>
  <c r="D48" i="24" s="1"/>
  <c r="C125" i="20"/>
  <c r="D125" i="20" s="1"/>
  <c r="C124" i="20"/>
  <c r="D124" i="20" s="1"/>
  <c r="C123" i="20"/>
  <c r="D123" i="20" s="1"/>
  <c r="F9" i="20"/>
  <c r="D32" i="20"/>
  <c r="D51" i="24" s="1"/>
  <c r="F10" i="20"/>
  <c r="C119" i="20"/>
  <c r="D119" i="20" s="1"/>
  <c r="P13" i="10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J30" i="10" l="1"/>
  <c r="P36" i="10"/>
  <c r="N36" i="10"/>
  <c r="O13" i="10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E33" i="24"/>
  <c r="F33" i="24" s="1"/>
  <c r="E39" i="24"/>
  <c r="F39" i="24" s="1"/>
  <c r="E37" i="24"/>
  <c r="F37" i="24" s="1"/>
  <c r="E34" i="24"/>
  <c r="F34" i="24" s="1"/>
  <c r="E35" i="24"/>
  <c r="F35" i="24" s="1"/>
  <c r="E38" i="24"/>
  <c r="F38" i="24" s="1"/>
  <c r="E46" i="20"/>
  <c r="G15" i="20" s="1"/>
  <c r="K9" i="10" a="1"/>
  <c r="K9" i="10" s="1"/>
  <c r="J26" i="10"/>
  <c r="H36" i="10"/>
  <c r="H37" i="10" s="1"/>
  <c r="I12" i="10"/>
  <c r="K12" i="10" s="1"/>
  <c r="L12" i="10" s="1"/>
  <c r="Q13" i="10"/>
  <c r="Q14" i="10" s="1"/>
  <c r="E45" i="24"/>
  <c r="F45" i="24" s="1"/>
  <c r="C19" i="24"/>
  <c r="G13" i="24" a="1"/>
  <c r="G13" i="24" s="1"/>
  <c r="G12" i="24" a="1"/>
  <c r="G12" i="24" s="1"/>
  <c r="E46" i="24"/>
  <c r="F46" i="24" s="1"/>
  <c r="E44" i="24"/>
  <c r="F44" i="24" s="1"/>
  <c r="E40" i="24"/>
  <c r="E43" i="24"/>
  <c r="F43" i="24" s="1"/>
  <c r="E41" i="24"/>
  <c r="F41" i="24" s="1"/>
  <c r="E42" i="24"/>
  <c r="F42" i="24" s="1"/>
  <c r="D11" i="24"/>
  <c r="D14" i="24"/>
  <c r="F36" i="24"/>
  <c r="F45" i="20"/>
  <c r="F46" i="20"/>
  <c r="F31" i="20"/>
  <c r="F48" i="20"/>
  <c r="F47" i="20"/>
  <c r="D49" i="20"/>
  <c r="F30" i="20"/>
  <c r="F29" i="20"/>
  <c r="F32" i="20"/>
  <c r="E9" i="22" a="1"/>
  <c r="E9" i="22" s="1"/>
  <c r="C9" i="22" a="1"/>
  <c r="C9" i="22" s="1"/>
  <c r="G9" i="22"/>
  <c r="J12" i="10"/>
  <c r="I36" i="10"/>
  <c r="I37" i="10" s="1"/>
  <c r="K22" i="11"/>
  <c r="L22" i="11" s="1"/>
  <c r="J22" i="11"/>
  <c r="J29" i="11"/>
  <c r="K29" i="11"/>
  <c r="L29" i="11" s="1"/>
  <c r="K16" i="11"/>
  <c r="L16" i="11" s="1"/>
  <c r="J16" i="11"/>
  <c r="K34" i="11"/>
  <c r="L34" i="11" s="1"/>
  <c r="J34" i="11"/>
  <c r="K21" i="11"/>
  <c r="L21" i="11" s="1"/>
  <c r="J21" i="11"/>
  <c r="J31" i="11"/>
  <c r="K31" i="11"/>
  <c r="L31" i="11" s="1"/>
  <c r="C3" i="22" a="1"/>
  <c r="C3" i="22" s="1"/>
  <c r="D5" i="22" a="1"/>
  <c r="D5" i="22" s="1"/>
  <c r="D3" i="22" a="1"/>
  <c r="D3" i="22" s="1"/>
  <c r="G7" i="22"/>
  <c r="F5" i="22" a="1"/>
  <c r="F5" i="22" s="1"/>
  <c r="E6" i="22" a="1"/>
  <c r="E6" i="22" s="1"/>
  <c r="E134" i="20"/>
  <c r="E47" i="20"/>
  <c r="G24" i="20" s="1"/>
  <c r="J19" i="11"/>
  <c r="K19" i="11"/>
  <c r="L19" i="11" s="1"/>
  <c r="K14" i="11"/>
  <c r="L14" i="11" s="1"/>
  <c r="J14" i="11"/>
  <c r="K18" i="11"/>
  <c r="L18" i="11" s="1"/>
  <c r="J18" i="11"/>
  <c r="K36" i="11"/>
  <c r="L36" i="11" s="1"/>
  <c r="J36" i="11"/>
  <c r="K25" i="11"/>
  <c r="L25" i="11" s="1"/>
  <c r="J25" i="11"/>
  <c r="K35" i="11"/>
  <c r="L35" i="11" s="1"/>
  <c r="J35" i="11"/>
  <c r="F3" i="22" a="1"/>
  <c r="F3" i="22" s="1"/>
  <c r="G5" i="22"/>
  <c r="C7" i="22" a="1"/>
  <c r="C7" i="22" s="1"/>
  <c r="F9" i="22" a="1"/>
  <c r="F9" i="22" s="1"/>
  <c r="D6" i="22" a="1"/>
  <c r="D6" i="22" s="1"/>
  <c r="G6" i="22"/>
  <c r="B22" i="22" s="1"/>
  <c r="E45" i="20"/>
  <c r="G6" i="20" s="1"/>
  <c r="J15" i="11"/>
  <c r="K15" i="11"/>
  <c r="L15" i="11" s="1"/>
  <c r="K24" i="11"/>
  <c r="L24" i="11" s="1"/>
  <c r="J24" i="11"/>
  <c r="J23" i="11"/>
  <c r="K23" i="11"/>
  <c r="L23" i="11" s="1"/>
  <c r="J27" i="11"/>
  <c r="K27" i="11"/>
  <c r="L27" i="11" s="1"/>
  <c r="H37" i="11"/>
  <c r="H39" i="11" s="1"/>
  <c r="I13" i="11"/>
  <c r="J30" i="11"/>
  <c r="K30" i="11"/>
  <c r="L30" i="11" s="1"/>
  <c r="D7" i="22" a="1"/>
  <c r="D7" i="22" s="1"/>
  <c r="F6" i="22" a="1"/>
  <c r="F6" i="22" s="1"/>
  <c r="F7" i="22" a="1"/>
  <c r="F7" i="22" s="1"/>
  <c r="E3" i="22" a="1"/>
  <c r="E3" i="22" s="1"/>
  <c r="E7" i="22" a="1"/>
  <c r="E7" i="22" s="1"/>
  <c r="K20" i="11"/>
  <c r="L20" i="11" s="1"/>
  <c r="J20" i="11"/>
  <c r="K26" i="11"/>
  <c r="L26" i="11" s="1"/>
  <c r="J26" i="11"/>
  <c r="K28" i="11"/>
  <c r="L28" i="11" s="1"/>
  <c r="J28" i="11"/>
  <c r="J33" i="11"/>
  <c r="K33" i="11"/>
  <c r="L33" i="11" s="1"/>
  <c r="J17" i="11"/>
  <c r="K17" i="11"/>
  <c r="L17" i="11" s="1"/>
  <c r="K32" i="11"/>
  <c r="L32" i="11" s="1"/>
  <c r="J32" i="11"/>
  <c r="D48" i="20"/>
  <c r="F28" i="20"/>
  <c r="G3" i="22"/>
  <c r="D9" i="22" a="1"/>
  <c r="D9" i="22" s="1"/>
  <c r="E5" i="22" a="1"/>
  <c r="E5" i="22" s="1"/>
  <c r="C5" i="22" a="1"/>
  <c r="C5" i="22" s="1"/>
  <c r="C6" i="22" a="1"/>
  <c r="C6" i="22" s="1"/>
  <c r="J36" i="10" l="1"/>
  <c r="J9" i="10" s="1"/>
  <c r="O36" i="10"/>
  <c r="G18" i="20"/>
  <c r="G13" i="20"/>
  <c r="G12" i="20"/>
  <c r="G16" i="20"/>
  <c r="G17" i="20"/>
  <c r="G14" i="20"/>
  <c r="E47" i="24"/>
  <c r="F47" i="24" s="1"/>
  <c r="G11" i="24" a="1"/>
  <c r="G11" i="24" s="1"/>
  <c r="G14" i="24" a="1"/>
  <c r="G14" i="24" s="1"/>
  <c r="D16" i="24"/>
  <c r="C5" i="24" s="1"/>
  <c r="E51" i="24"/>
  <c r="F51" i="24" s="1"/>
  <c r="E50" i="24"/>
  <c r="F50" i="24" s="1"/>
  <c r="E48" i="24"/>
  <c r="F48" i="24" s="1"/>
  <c r="E26" i="24"/>
  <c r="E30" i="24"/>
  <c r="F30" i="24" s="1"/>
  <c r="E27" i="24"/>
  <c r="F27" i="24" s="1"/>
  <c r="E32" i="24"/>
  <c r="F32" i="24" s="1"/>
  <c r="E29" i="24"/>
  <c r="F29" i="24" s="1"/>
  <c r="E31" i="24"/>
  <c r="F31" i="24" s="1"/>
  <c r="E28" i="24"/>
  <c r="F28" i="24" s="1"/>
  <c r="E49" i="24"/>
  <c r="F49" i="24" s="1"/>
  <c r="C15" i="24"/>
  <c r="F40" i="24"/>
  <c r="F33" i="20"/>
  <c r="G5" i="20"/>
  <c r="G8" i="20"/>
  <c r="G9" i="20"/>
  <c r="G7" i="20"/>
  <c r="G26" i="20"/>
  <c r="G21" i="20"/>
  <c r="G20" i="20"/>
  <c r="G22" i="20"/>
  <c r="G25" i="20"/>
  <c r="G23" i="20"/>
  <c r="F18" i="22"/>
  <c r="C19" i="22"/>
  <c r="C11" i="22"/>
  <c r="C8" i="22" s="1"/>
  <c r="E18" i="22"/>
  <c r="E11" i="22"/>
  <c r="E8" i="22" s="1"/>
  <c r="E19" i="22"/>
  <c r="D11" i="22"/>
  <c r="D4" i="22" s="1"/>
  <c r="D16" i="22" s="1"/>
  <c r="D19" i="22"/>
  <c r="K13" i="11"/>
  <c r="L13" i="11" s="1"/>
  <c r="I37" i="11"/>
  <c r="I39" i="11" s="1"/>
  <c r="J13" i="11"/>
  <c r="J37" i="11" s="1"/>
  <c r="D22" i="22"/>
  <c r="F22" i="22"/>
  <c r="G22" i="22"/>
  <c r="E22" i="22"/>
  <c r="G18" i="22"/>
  <c r="C22" i="22"/>
  <c r="C18" i="22"/>
  <c r="D18" i="22"/>
  <c r="G19" i="22"/>
  <c r="G11" i="22"/>
  <c r="G8" i="22" s="1"/>
  <c r="E48" i="20"/>
  <c r="F11" i="22"/>
  <c r="F4" i="22" s="1"/>
  <c r="F16" i="22" s="1"/>
  <c r="F19" i="22"/>
  <c r="C133" i="20"/>
  <c r="G4" i="20"/>
  <c r="G9" i="10"/>
  <c r="Q15" i="10"/>
  <c r="G10" i="20"/>
  <c r="C6" i="24" l="1"/>
  <c r="C2" i="24"/>
  <c r="C4" i="24"/>
  <c r="G15" i="24"/>
  <c r="C3" i="24"/>
  <c r="D15" i="24"/>
  <c r="F26" i="24"/>
  <c r="C4" i="22"/>
  <c r="C16" i="22" s="1"/>
  <c r="D8" i="22"/>
  <c r="D20" i="22" s="1"/>
  <c r="F8" i="22"/>
  <c r="F20" i="22" s="1"/>
  <c r="G4" i="22"/>
  <c r="E20" i="22"/>
  <c r="G20" i="22"/>
  <c r="G32" i="20"/>
  <c r="G31" i="20"/>
  <c r="G29" i="20"/>
  <c r="G30" i="20"/>
  <c r="E4" i="22"/>
  <c r="Q16" i="10"/>
  <c r="E133" i="20"/>
  <c r="B159" i="20"/>
  <c r="B143" i="20"/>
  <c r="B148" i="20"/>
  <c r="B136" i="20"/>
  <c r="B140" i="20"/>
  <c r="B144" i="20"/>
  <c r="B145" i="20"/>
  <c r="B155" i="20"/>
  <c r="B139" i="20"/>
  <c r="B156" i="20"/>
  <c r="B160" i="20"/>
  <c r="B137" i="20"/>
  <c r="B141" i="20"/>
  <c r="B142" i="20"/>
  <c r="B151" i="20"/>
  <c r="B150" i="20"/>
  <c r="B153" i="20"/>
  <c r="B157" i="20"/>
  <c r="B138" i="20"/>
  <c r="B147" i="20"/>
  <c r="B149" i="20"/>
  <c r="B146" i="20"/>
  <c r="B154" i="20"/>
  <c r="B158" i="20"/>
  <c r="B152" i="20"/>
  <c r="C146" i="20"/>
  <c r="C153" i="20"/>
  <c r="C136" i="20"/>
  <c r="C140" i="20"/>
  <c r="C155" i="20"/>
  <c r="C159" i="20"/>
  <c r="C158" i="20"/>
  <c r="C142" i="20"/>
  <c r="C152" i="20"/>
  <c r="C160" i="20"/>
  <c r="C147" i="20"/>
  <c r="C149" i="20"/>
  <c r="C156" i="20"/>
  <c r="C154" i="20"/>
  <c r="C138" i="20"/>
  <c r="C151" i="20"/>
  <c r="C157" i="20"/>
  <c r="C144" i="20"/>
  <c r="C148" i="20"/>
  <c r="C139" i="20"/>
  <c r="C150" i="20"/>
  <c r="C137" i="20"/>
  <c r="C143" i="20"/>
  <c r="C141" i="20"/>
  <c r="C145" i="20"/>
  <c r="G28" i="20"/>
  <c r="C20" i="22"/>
  <c r="D17" i="22"/>
  <c r="G9" i="11"/>
  <c r="H9" i="11"/>
  <c r="F17" i="22"/>
  <c r="C20" i="24" l="1"/>
  <c r="G26" i="24"/>
  <c r="G35" i="24"/>
  <c r="H35" i="24" s="1"/>
  <c r="G38" i="24"/>
  <c r="H38" i="24" s="1"/>
  <c r="G30" i="24"/>
  <c r="H30" i="24" s="1"/>
  <c r="G37" i="24"/>
  <c r="H37" i="24" s="1"/>
  <c r="G39" i="24"/>
  <c r="H39" i="24" s="1"/>
  <c r="G34" i="24"/>
  <c r="H34" i="24" s="1"/>
  <c r="G27" i="24"/>
  <c r="H27" i="24" s="1"/>
  <c r="G36" i="24"/>
  <c r="H36" i="24" s="1"/>
  <c r="G33" i="24"/>
  <c r="G44" i="24"/>
  <c r="H44" i="24" s="1"/>
  <c r="G28" i="24"/>
  <c r="H28" i="24" s="1"/>
  <c r="G46" i="24"/>
  <c r="H46" i="24" s="1"/>
  <c r="G32" i="24"/>
  <c r="H32" i="24" s="1"/>
  <c r="G29" i="24"/>
  <c r="H29" i="24" s="1"/>
  <c r="G47" i="24"/>
  <c r="G41" i="24"/>
  <c r="H41" i="24" s="1"/>
  <c r="G45" i="24"/>
  <c r="H45" i="24" s="1"/>
  <c r="G42" i="24"/>
  <c r="H42" i="24" s="1"/>
  <c r="G40" i="24"/>
  <c r="G43" i="24"/>
  <c r="H43" i="24" s="1"/>
  <c r="G31" i="24"/>
  <c r="H31" i="24" s="1"/>
  <c r="G49" i="24"/>
  <c r="H49" i="24" s="1"/>
  <c r="G51" i="24"/>
  <c r="H51" i="24" s="1"/>
  <c r="G48" i="24"/>
  <c r="H48" i="24" s="1"/>
  <c r="G50" i="24"/>
  <c r="H50" i="24" s="1"/>
  <c r="D17" i="24"/>
  <c r="E14" i="24"/>
  <c r="F14" i="24" s="1"/>
  <c r="E13" i="24"/>
  <c r="E12" i="24"/>
  <c r="E11" i="24"/>
  <c r="F11" i="24" s="1"/>
  <c r="C17" i="22"/>
  <c r="C24" i="22" s="1"/>
  <c r="F24" i="22"/>
  <c r="D24" i="22"/>
  <c r="G16" i="22"/>
  <c r="G17" i="22"/>
  <c r="P36" i="11"/>
  <c r="Q35" i="11"/>
  <c r="N34" i="11"/>
  <c r="O33" i="11"/>
  <c r="P32" i="11"/>
  <c r="Q31" i="11"/>
  <c r="N30" i="11"/>
  <c r="O29" i="11"/>
  <c r="P28" i="11"/>
  <c r="O35" i="11"/>
  <c r="Q33" i="11"/>
  <c r="N32" i="11"/>
  <c r="P31" i="11"/>
  <c r="O30" i="11"/>
  <c r="O28" i="11"/>
  <c r="O27" i="11"/>
  <c r="P26" i="11"/>
  <c r="Q25" i="11"/>
  <c r="N24" i="11"/>
  <c r="O23" i="11"/>
  <c r="P22" i="11"/>
  <c r="Q21" i="11"/>
  <c r="N20" i="11"/>
  <c r="O19" i="11"/>
  <c r="P18" i="11"/>
  <c r="Q17" i="11"/>
  <c r="N16" i="11"/>
  <c r="O15" i="11"/>
  <c r="P14" i="11"/>
  <c r="Q13" i="11"/>
  <c r="N11" i="11"/>
  <c r="N8" i="11"/>
  <c r="O36" i="11"/>
  <c r="N35" i="11"/>
  <c r="P34" i="11"/>
  <c r="P33" i="11"/>
  <c r="Q32" i="11"/>
  <c r="O31" i="11"/>
  <c r="Q30" i="11"/>
  <c r="N27" i="11"/>
  <c r="Q26" i="11"/>
  <c r="N25" i="11"/>
  <c r="Q24" i="11"/>
  <c r="P23" i="11"/>
  <c r="O21" i="11"/>
  <c r="Q19" i="11"/>
  <c r="N18" i="11"/>
  <c r="P17" i="11"/>
  <c r="O16" i="11"/>
  <c r="O14" i="11"/>
  <c r="P11" i="11"/>
  <c r="N36" i="11"/>
  <c r="O34" i="11"/>
  <c r="N33" i="11"/>
  <c r="O32" i="11"/>
  <c r="N31" i="11"/>
  <c r="P30" i="11"/>
  <c r="Q29" i="11"/>
  <c r="Q28" i="11"/>
  <c r="O26" i="11"/>
  <c r="P24" i="11"/>
  <c r="N23" i="11"/>
  <c r="Q22" i="11"/>
  <c r="N21" i="11"/>
  <c r="Q20" i="11"/>
  <c r="P19" i="11"/>
  <c r="O17" i="11"/>
  <c r="Q15" i="11"/>
  <c r="N14" i="11"/>
  <c r="P13" i="11"/>
  <c r="O11" i="11"/>
  <c r="P29" i="11"/>
  <c r="N28" i="11"/>
  <c r="Q27" i="11"/>
  <c r="N26" i="11"/>
  <c r="P25" i="11"/>
  <c r="O24" i="11"/>
  <c r="O22" i="11"/>
  <c r="P20" i="11"/>
  <c r="N19" i="11"/>
  <c r="Q18" i="11"/>
  <c r="N17" i="11"/>
  <c r="Q16" i="11"/>
  <c r="P15" i="11"/>
  <c r="O13" i="11"/>
  <c r="N9" i="11"/>
  <c r="Q36" i="11"/>
  <c r="P35" i="11"/>
  <c r="Q34" i="11"/>
  <c r="N29" i="11"/>
  <c r="P27" i="11"/>
  <c r="O25" i="11"/>
  <c r="Q23" i="11"/>
  <c r="N22" i="11"/>
  <c r="P21" i="11"/>
  <c r="O20" i="11"/>
  <c r="O18" i="11"/>
  <c r="P16" i="11"/>
  <c r="N15" i="11"/>
  <c r="Q14" i="11"/>
  <c r="N13" i="11"/>
  <c r="Q11" i="11"/>
  <c r="D145" i="20"/>
  <c r="D155" i="20"/>
  <c r="D138" i="20"/>
  <c r="D158" i="20"/>
  <c r="D160" i="20"/>
  <c r="D142" i="20"/>
  <c r="D157" i="20"/>
  <c r="D141" i="20"/>
  <c r="D154" i="20"/>
  <c r="D150" i="20"/>
  <c r="D151" i="20"/>
  <c r="D146" i="20"/>
  <c r="D136" i="20"/>
  <c r="D153" i="20"/>
  <c r="D137" i="20"/>
  <c r="D140" i="20"/>
  <c r="D147" i="20"/>
  <c r="D148" i="20"/>
  <c r="D143" i="20"/>
  <c r="D149" i="20"/>
  <c r="D156" i="20"/>
  <c r="D139" i="20"/>
  <c r="D144" i="20"/>
  <c r="D152" i="20"/>
  <c r="D159" i="20"/>
  <c r="E152" i="20"/>
  <c r="E136" i="20"/>
  <c r="E143" i="20"/>
  <c r="E151" i="20"/>
  <c r="E138" i="20"/>
  <c r="E153" i="20"/>
  <c r="E148" i="20"/>
  <c r="E159" i="20"/>
  <c r="E142" i="20"/>
  <c r="E137" i="20"/>
  <c r="E149" i="20"/>
  <c r="E150" i="20"/>
  <c r="E160" i="20"/>
  <c r="E144" i="20"/>
  <c r="E158" i="20"/>
  <c r="E141" i="20"/>
  <c r="E155" i="20"/>
  <c r="E146" i="20"/>
  <c r="E147" i="20"/>
  <c r="E156" i="20"/>
  <c r="E140" i="20"/>
  <c r="E157" i="20"/>
  <c r="E154" i="20"/>
  <c r="E145" i="20"/>
  <c r="E139" i="20"/>
  <c r="Q17" i="10"/>
  <c r="E16" i="22"/>
  <c r="E17" i="22"/>
  <c r="H14" i="24" l="1"/>
  <c r="H11" i="24"/>
  <c r="F13" i="24"/>
  <c r="F12" i="24"/>
  <c r="E15" i="24"/>
  <c r="H40" i="24"/>
  <c r="H26" i="24"/>
  <c r="H33" i="24"/>
  <c r="H47" i="24"/>
  <c r="G24" i="22"/>
  <c r="E24" i="22"/>
  <c r="Q18" i="10"/>
  <c r="H12" i="24" l="1"/>
  <c r="H13" i="24"/>
  <c r="F15" i="24"/>
  <c r="Q19" i="10"/>
  <c r="H15" i="24" l="1"/>
  <c r="C21" i="24" s="1"/>
  <c r="Q20" i="10"/>
  <c r="Q21" i="10" l="1"/>
  <c r="Q22" i="10" l="1"/>
  <c r="Q23" i="10" l="1"/>
  <c r="Q24" i="10" l="1"/>
  <c r="Q25" i="10" l="1"/>
  <c r="Q26" i="10" l="1"/>
  <c r="Q27" i="10" l="1"/>
  <c r="Q28" i="10" l="1"/>
  <c r="Q29" i="10" l="1"/>
  <c r="Q30" i="10" l="1"/>
  <c r="Q31" i="10" l="1"/>
  <c r="Q32" i="10" l="1"/>
  <c r="Q33" i="10" l="1"/>
  <c r="Q34" i="10" l="1"/>
  <c r="Q35" i="10" l="1"/>
  <c r="S5" i="10" l="1"/>
  <c r="Q36" i="10"/>
  <c r="T5" i="10"/>
  <c r="R32" i="10" l="1"/>
  <c r="R28" i="10"/>
  <c r="R24" i="10"/>
  <c r="R20" i="10"/>
  <c r="R16" i="10"/>
  <c r="R12" i="10"/>
  <c r="R33" i="10"/>
  <c r="R29" i="10"/>
  <c r="R25" i="10"/>
  <c r="R21" i="10"/>
  <c r="R17" i="10"/>
  <c r="R13" i="10"/>
  <c r="R34" i="10"/>
  <c r="R30" i="10"/>
  <c r="R26" i="10"/>
  <c r="R22" i="10"/>
  <c r="R18" i="10"/>
  <c r="R14" i="10"/>
  <c r="R35" i="10"/>
  <c r="R27" i="10"/>
  <c r="R19" i="10"/>
  <c r="R31" i="10"/>
  <c r="R23" i="10"/>
  <c r="R15" i="10"/>
  <c r="U9" i="10" l="1" a="1"/>
  <c r="U9" i="10" s="1"/>
  <c r="X15" i="10"/>
  <c r="S15" i="10"/>
  <c r="X27" i="10"/>
  <c r="S27" i="10"/>
  <c r="X22" i="10"/>
  <c r="S22" i="10"/>
  <c r="X13" i="10"/>
  <c r="S13" i="10"/>
  <c r="X29" i="10"/>
  <c r="S29" i="10"/>
  <c r="X20" i="10"/>
  <c r="S20" i="10"/>
  <c r="X23" i="10"/>
  <c r="S23" i="10"/>
  <c r="X35" i="10"/>
  <c r="S35" i="10"/>
  <c r="X26" i="10"/>
  <c r="S26" i="10"/>
  <c r="X17" i="10"/>
  <c r="S17" i="10"/>
  <c r="X33" i="10"/>
  <c r="S33" i="10"/>
  <c r="X24" i="10"/>
  <c r="S24" i="10"/>
  <c r="X31" i="10"/>
  <c r="S31" i="10"/>
  <c r="X14" i="10"/>
  <c r="S14" i="10"/>
  <c r="X30" i="10"/>
  <c r="S30" i="10"/>
  <c r="X21" i="10"/>
  <c r="S21" i="10"/>
  <c r="R36" i="10"/>
  <c r="X12" i="10"/>
  <c r="S12" i="10"/>
  <c r="X28" i="10"/>
  <c r="S28" i="10"/>
  <c r="X19" i="10"/>
  <c r="S19" i="10"/>
  <c r="X18" i="10"/>
  <c r="S18" i="10"/>
  <c r="X34" i="10"/>
  <c r="S34" i="10"/>
  <c r="X25" i="10"/>
  <c r="S25" i="10"/>
  <c r="X16" i="10"/>
  <c r="S16" i="10"/>
  <c r="X32" i="10"/>
  <c r="S32" i="10"/>
  <c r="Y32" i="10" l="1"/>
  <c r="AA32" i="10" s="1"/>
  <c r="Z32" i="10"/>
  <c r="Y25" i="10"/>
  <c r="AA25" i="10" s="1"/>
  <c r="Z25" i="10"/>
  <c r="Y18" i="10"/>
  <c r="AA18" i="10" s="1"/>
  <c r="Z18" i="10"/>
  <c r="Y28" i="10"/>
  <c r="AA28" i="10" s="1"/>
  <c r="Z28" i="10"/>
  <c r="T21" i="10"/>
  <c r="V21" i="10" s="1"/>
  <c r="U21" i="10"/>
  <c r="T14" i="10"/>
  <c r="V14" i="10" s="1"/>
  <c r="U14" i="10"/>
  <c r="T24" i="10"/>
  <c r="V24" i="10" s="1"/>
  <c r="U24" i="10"/>
  <c r="T17" i="10"/>
  <c r="V17" i="10" s="1"/>
  <c r="U17" i="10"/>
  <c r="T35" i="10"/>
  <c r="V35" i="10" s="1"/>
  <c r="U35" i="10"/>
  <c r="T20" i="10"/>
  <c r="V20" i="10" s="1"/>
  <c r="U20" i="10"/>
  <c r="T13" i="10"/>
  <c r="V13" i="10" s="1"/>
  <c r="U13" i="10"/>
  <c r="T27" i="10"/>
  <c r="V27" i="10" s="1"/>
  <c r="U27" i="10"/>
  <c r="T16" i="10"/>
  <c r="V16" i="10" s="1"/>
  <c r="U16" i="10"/>
  <c r="T34" i="10"/>
  <c r="V34" i="10" s="1"/>
  <c r="U34" i="10"/>
  <c r="T19" i="10"/>
  <c r="V19" i="10" s="1"/>
  <c r="U19" i="10"/>
  <c r="T12" i="10"/>
  <c r="S36" i="10"/>
  <c r="U12" i="10"/>
  <c r="Y21" i="10"/>
  <c r="AA21" i="10" s="1"/>
  <c r="Z21" i="10"/>
  <c r="Y14" i="10"/>
  <c r="AA14" i="10" s="1"/>
  <c r="Z14" i="10"/>
  <c r="Y24" i="10"/>
  <c r="AA24" i="10" s="1"/>
  <c r="Z24" i="10"/>
  <c r="Y17" i="10"/>
  <c r="AA17" i="10" s="1"/>
  <c r="Z17" i="10"/>
  <c r="Y35" i="10"/>
  <c r="AA35" i="10" s="1"/>
  <c r="Z35" i="10"/>
  <c r="Y20" i="10"/>
  <c r="AA20" i="10" s="1"/>
  <c r="Z20" i="10"/>
  <c r="Y13" i="10"/>
  <c r="AA13" i="10" s="1"/>
  <c r="Z13" i="10"/>
  <c r="Y27" i="10"/>
  <c r="AA27" i="10" s="1"/>
  <c r="Z27" i="10"/>
  <c r="Y16" i="10"/>
  <c r="AA16" i="10" s="1"/>
  <c r="Z16" i="10"/>
  <c r="Y34" i="10"/>
  <c r="AA34" i="10" s="1"/>
  <c r="Z34" i="10"/>
  <c r="Y19" i="10"/>
  <c r="AA19" i="10" s="1"/>
  <c r="Z19" i="10"/>
  <c r="Y12" i="10"/>
  <c r="X36" i="10"/>
  <c r="Z12" i="10"/>
  <c r="T30" i="10"/>
  <c r="V30" i="10" s="1"/>
  <c r="U30" i="10"/>
  <c r="T31" i="10"/>
  <c r="V31" i="10" s="1"/>
  <c r="U31" i="10"/>
  <c r="T33" i="10"/>
  <c r="V33" i="10" s="1"/>
  <c r="U33" i="10"/>
  <c r="T26" i="10"/>
  <c r="V26" i="10" s="1"/>
  <c r="U26" i="10"/>
  <c r="T23" i="10"/>
  <c r="V23" i="10" s="1"/>
  <c r="U23" i="10"/>
  <c r="T29" i="10"/>
  <c r="V29" i="10" s="1"/>
  <c r="U29" i="10"/>
  <c r="T22" i="10"/>
  <c r="V22" i="10" s="1"/>
  <c r="U22" i="10"/>
  <c r="T15" i="10"/>
  <c r="V15" i="10" s="1"/>
  <c r="U15" i="10"/>
  <c r="T32" i="10"/>
  <c r="V32" i="10" s="1"/>
  <c r="U32" i="10"/>
  <c r="T25" i="10"/>
  <c r="V25" i="10" s="1"/>
  <c r="U25" i="10"/>
  <c r="T18" i="10"/>
  <c r="V18" i="10" s="1"/>
  <c r="U18" i="10"/>
  <c r="T28" i="10"/>
  <c r="V28" i="10" s="1"/>
  <c r="U28" i="10"/>
  <c r="Y30" i="10"/>
  <c r="AA30" i="10" s="1"/>
  <c r="Z30" i="10"/>
  <c r="Y31" i="10"/>
  <c r="AA31" i="10" s="1"/>
  <c r="Z31" i="10"/>
  <c r="Y33" i="10"/>
  <c r="AA33" i="10" s="1"/>
  <c r="Z33" i="10"/>
  <c r="Y26" i="10"/>
  <c r="AA26" i="10" s="1"/>
  <c r="Z26" i="10"/>
  <c r="Y23" i="10"/>
  <c r="AA23" i="10" s="1"/>
  <c r="Z23" i="10"/>
  <c r="Y29" i="10"/>
  <c r="AA29" i="10" s="1"/>
  <c r="Z29" i="10"/>
  <c r="Y22" i="10"/>
  <c r="AA22" i="10" s="1"/>
  <c r="Z22" i="10"/>
  <c r="Y15" i="10"/>
  <c r="AA15" i="10" s="1"/>
  <c r="Z15" i="10"/>
  <c r="Y36" i="10" l="1"/>
  <c r="AA9" i="10" s="1"/>
  <c r="AA10" i="10" s="1"/>
  <c r="AA12" i="10"/>
  <c r="AA36" i="10" s="1"/>
  <c r="T36" i="10"/>
  <c r="T9" i="10" s="1"/>
  <c r="P8" i="10" s="1"/>
  <c r="V12" i="10"/>
  <c r="V36" i="10" s="1"/>
  <c r="Z36" i="10"/>
  <c r="U3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Francois Lefebvre</author>
  </authors>
  <commentList>
    <comment ref="K2" authorId="0" shapeId="0" xr:uid="{00000000-0006-0000-0200-000001000000}">
      <text>
        <r>
          <rPr>
            <b/>
            <sz val="11"/>
            <color indexed="81"/>
            <rFont val="Tahoma"/>
            <family val="2"/>
          </rPr>
          <t>1=Fixe, 2=Semi-variable,3=Variable</t>
        </r>
      </text>
    </comment>
    <comment ref="S2" authorId="0" shapeId="0" xr:uid="{00000000-0006-0000-0200-000002000000}">
      <text>
        <r>
          <rPr>
            <b/>
            <sz val="11"/>
            <color indexed="81"/>
            <rFont val="Tahoma"/>
            <family val="2"/>
          </rPr>
          <t>1=Fixe, 2=Semi-variable,3=Variable</t>
        </r>
      </text>
    </comment>
    <comment ref="P9" authorId="0" shapeId="0" xr:uid="{00000000-0006-0000-0200-000003000000}">
      <text>
        <r>
          <rPr>
            <b/>
            <sz val="11"/>
            <color indexed="81"/>
            <rFont val="Tahoma"/>
            <family val="2"/>
          </rPr>
          <t>25% represente 4 periodes de lag.  25% est le standard le plus utilisé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Francois Lefebvre</author>
  </authors>
  <commentList>
    <comment ref="D10" authorId="0" shapeId="0" xr:uid="{00000000-0006-0000-0500-000001000000}">
      <text>
        <r>
          <rPr>
            <b/>
            <sz val="11"/>
            <color indexed="81"/>
            <rFont val="Tahoma"/>
            <family val="2"/>
          </rPr>
          <t>Weighted mean for unequal size. Useve Average() only if equal sizes.</t>
        </r>
      </text>
    </comment>
    <comment ref="F10" authorId="0" shapeId="0" xr:uid="{00000000-0006-0000-0500-000002000000}">
      <text>
        <r>
          <rPr>
            <b/>
            <sz val="11"/>
            <color indexed="81"/>
            <rFont val="Tahoma"/>
            <family val="2"/>
          </rPr>
          <t>represents the weighted sum of squared deviation</t>
        </r>
      </text>
    </comment>
    <comment ref="G10" authorId="0" shapeId="0" xr:uid="{00000000-0006-0000-0500-000003000000}">
      <text>
        <r>
          <rPr>
            <b/>
            <sz val="11"/>
            <color indexed="81"/>
            <rFont val="Tahoma"/>
            <family val="2"/>
          </rPr>
          <t>Using formula of sum of square using the sum of squares of x to allow group seleciton</t>
        </r>
      </text>
    </comment>
    <comment ref="D15" authorId="0" shapeId="0" xr:uid="{00000000-0006-0000-0500-000004000000}">
      <text>
        <r>
          <rPr>
            <b/>
            <sz val="11"/>
            <color indexed="81"/>
            <rFont val="Tahoma"/>
            <family val="2"/>
          </rPr>
          <t>Weighted mean for unequal size</t>
        </r>
      </text>
    </comment>
    <comment ref="B25" authorId="0" shapeId="0" xr:uid="{00000000-0006-0000-0500-000005000000}">
      <text>
        <r>
          <rPr>
            <b/>
            <sz val="11"/>
            <color indexed="81"/>
            <rFont val="Tahoma"/>
            <family val="2"/>
          </rPr>
          <t>Using an array to show its use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fralef</author>
  </authors>
  <commentList>
    <comment ref="G2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Since the distance represente the std dev from the center then this is really a cote z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Francois Lefebvre</author>
  </authors>
  <commentList>
    <comment ref="F1" authorId="0" shapeId="0" xr:uid="{00000000-0006-0000-0A00-000001000000}">
      <text>
        <r>
          <rPr>
            <b/>
            <sz val="11"/>
            <color indexed="81"/>
            <rFont val="Tahoma"/>
            <family val="2"/>
          </rPr>
          <t>Average distance between centroid and members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Francois Lefebvre</author>
  </authors>
  <commentList>
    <comment ref="B1" authorId="0" shapeId="0" xr:uid="{00000000-0006-0000-0B00-000001000000}">
      <text>
        <r>
          <rPr>
            <b/>
            <sz val="11"/>
            <color indexed="81"/>
            <rFont val="Tahoma"/>
            <family val="2"/>
          </rPr>
          <t>The field cannot be blank, it so put 0. Otherwise error message from averageif</t>
        </r>
      </text>
    </comment>
    <comment ref="C1" authorId="0" shapeId="0" xr:uid="{00000000-0006-0000-0B00-000002000000}">
      <text>
        <r>
          <rPr>
            <b/>
            <sz val="11"/>
            <color indexed="81"/>
            <rFont val="Tahoma"/>
            <family val="2"/>
          </rPr>
          <t>The field cannot be blank, it so put 0. Otherwise error message from averageif</t>
        </r>
      </text>
    </comment>
    <comment ref="D1" authorId="0" shapeId="0" xr:uid="{00000000-0006-0000-0B00-000003000000}">
      <text>
        <r>
          <rPr>
            <b/>
            <sz val="11"/>
            <color indexed="81"/>
            <rFont val="Tahoma"/>
            <family val="2"/>
          </rPr>
          <t>The field cannot be blank, it so put 0. Otherwise error message from averageif</t>
        </r>
      </text>
    </comment>
    <comment ref="G1" authorId="0" shapeId="0" xr:uid="{00000000-0006-0000-0B00-000004000000}">
      <text>
        <r>
          <rPr>
            <b/>
            <sz val="11"/>
            <color indexed="81"/>
            <rFont val="Tahoma"/>
            <family val="2"/>
          </rPr>
          <t>Distance from cluster centroid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fralef</author>
  </authors>
  <commentList>
    <comment ref="C1" authorId="0" shapeId="0" xr:uid="{00000000-0006-0000-0C00-000001000000}">
      <text>
        <r>
          <rPr>
            <b/>
            <sz val="8"/>
            <color indexed="81"/>
            <rFont val="Tahoma"/>
            <family val="2"/>
          </rPr>
          <t>Distance between "Item From" and "Item To"</t>
        </r>
      </text>
    </comment>
    <comment ref="D1" authorId="0" shapeId="0" xr:uid="{00000000-0006-0000-0C00-000002000000}">
      <text>
        <r>
          <rPr>
            <b/>
            <sz val="8"/>
            <color indexed="81"/>
            <rFont val="Tahoma"/>
            <family val="2"/>
          </rPr>
          <t>Used by vba to build the clusters. Unknown cluster = 0, items belong to different clusters = -1</t>
        </r>
      </text>
    </comment>
    <comment ref="E1" authorId="0" shapeId="0" xr:uid="{00000000-0006-0000-0C00-000003000000}">
      <text>
        <r>
          <rPr>
            <b/>
            <sz val="8"/>
            <color indexed="81"/>
            <rFont val="Tahoma"/>
            <family val="2"/>
          </rPr>
          <t>Distance as a member of a cluster, same as item distance if not a cluster member yet</t>
        </r>
      </text>
    </comment>
    <comment ref="F1" authorId="0" shapeId="0" xr:uid="{00000000-0006-0000-0C00-000004000000}">
      <text>
        <r>
          <rPr>
            <b/>
            <sz val="8"/>
            <color indexed="81"/>
            <rFont val="Tahoma"/>
            <family val="2"/>
          </rPr>
          <t>Used by vba to perform filter operations</t>
        </r>
      </text>
    </comment>
    <comment ref="G1" authorId="0" shapeId="0" xr:uid="{00000000-0006-0000-0C00-000005000000}">
      <text>
        <r>
          <rPr>
            <b/>
            <sz val="8"/>
            <color indexed="81"/>
            <rFont val="Tahoma"/>
            <family val="2"/>
          </rPr>
          <t>Used by vba to perform filter operations</t>
        </r>
      </text>
    </comment>
  </commentList>
</comments>
</file>

<file path=xl/sharedStrings.xml><?xml version="1.0" encoding="utf-8"?>
<sst xmlns="http://schemas.openxmlformats.org/spreadsheetml/2006/main" count="697" uniqueCount="253">
  <si>
    <t>J</t>
  </si>
  <si>
    <t>K</t>
  </si>
  <si>
    <t>L</t>
  </si>
  <si>
    <t>Left</t>
  </si>
  <si>
    <t>Right</t>
  </si>
  <si>
    <t>Description</t>
  </si>
  <si>
    <t>Index</t>
  </si>
  <si>
    <t>R</t>
  </si>
  <si>
    <t>G</t>
  </si>
  <si>
    <t>B</t>
  </si>
  <si>
    <t>Parent</t>
  </si>
  <si>
    <t>Child</t>
  </si>
  <si>
    <t>Level</t>
  </si>
  <si>
    <t>A</t>
  </si>
  <si>
    <t>C</t>
  </si>
  <si>
    <t>D</t>
  </si>
  <si>
    <t>E</t>
  </si>
  <si>
    <t>F</t>
  </si>
  <si>
    <t>H</t>
  </si>
  <si>
    <t>I</t>
  </si>
  <si>
    <t>M</t>
  </si>
  <si>
    <t>Moyenne</t>
  </si>
  <si>
    <t>Variation</t>
  </si>
  <si>
    <t>Qté</t>
  </si>
  <si>
    <t>Fixe</t>
  </si>
  <si>
    <t>Variable</t>
  </si>
  <si>
    <t>Coût Réel</t>
  </si>
  <si>
    <t>Coût Estimé:</t>
  </si>
  <si>
    <t>Partie fixe:</t>
  </si>
  <si>
    <t>Marge d'erreur:</t>
  </si>
  <si>
    <t>Adoucissement:</t>
  </si>
  <si>
    <t>Marge d'erreur réel vs adouci:</t>
  </si>
  <si>
    <t>Bruit
Qté</t>
  </si>
  <si>
    <t>Bruit
Coût</t>
  </si>
  <si>
    <t>Qté Réel</t>
  </si>
  <si>
    <t>Coût Estimé</t>
  </si>
  <si>
    <t>Erreur</t>
  </si>
  <si>
    <t>Erreur absolue</t>
  </si>
  <si>
    <t>Erreur %</t>
  </si>
  <si>
    <t>Erreur Absolue %</t>
  </si>
  <si>
    <t>Qté
Adouci 1</t>
  </si>
  <si>
    <t>Coût
Adouci 1</t>
  </si>
  <si>
    <t>Erreur Réel</t>
  </si>
  <si>
    <t>Erreur réel absolue</t>
  </si>
  <si>
    <t>Erreur réel %</t>
  </si>
  <si>
    <t>Erreur réel Absolue %</t>
  </si>
  <si>
    <t>Somme</t>
  </si>
  <si>
    <t>Facteur bruit</t>
  </si>
  <si>
    <t>D = B − C</t>
  </si>
  <si>
    <t>E = Abs(D)</t>
  </si>
  <si>
    <t>F = D ÷ C</t>
  </si>
  <si>
    <t>G = Abs(F)</t>
  </si>
  <si>
    <t>Produit</t>
  </si>
  <si>
    <t>Materiel</t>
  </si>
  <si>
    <t>Total</t>
  </si>
  <si>
    <t>Material</t>
  </si>
  <si>
    <t>Σ</t>
  </si>
  <si>
    <t>√</t>
  </si>
  <si>
    <t>A vs B</t>
  </si>
  <si>
    <t>B vs C</t>
  </si>
  <si>
    <t>Grappe 1--&gt;</t>
  </si>
  <si>
    <t>Maximum</t>
  </si>
  <si>
    <t>Grappe 1</t>
  </si>
  <si>
    <t>Grappe 2--&gt;</t>
  </si>
  <si>
    <t>Grappe 2</t>
  </si>
  <si>
    <t>Grappe 1 = C, D</t>
  </si>
  <si>
    <t>Grappe 2 = A, E</t>
  </si>
  <si>
    <t>Grappe 2 = A, B, E</t>
  </si>
  <si>
    <t>Nodes</t>
  </si>
  <si>
    <t>Data Adouci</t>
  </si>
  <si>
    <t>Data Réel</t>
  </si>
  <si>
    <t>MO</t>
  </si>
  <si>
    <t>Adouci vs Réel</t>
  </si>
  <si>
    <t>Calcul de la distance</t>
  </si>
  <si>
    <t>LeftID</t>
  </si>
  <si>
    <t>Status</t>
  </si>
  <si>
    <t>RightID</t>
  </si>
  <si>
    <t>OK</t>
  </si>
  <si>
    <t>Item ID</t>
  </si>
  <si>
    <t>Value1</t>
  </si>
  <si>
    <t>Value2</t>
  </si>
  <si>
    <t>Value3</t>
  </si>
  <si>
    <t>Cluster ID</t>
  </si>
  <si>
    <t>Item From</t>
  </si>
  <si>
    <t>Item To</t>
  </si>
  <si>
    <t>Distance</t>
  </si>
  <si>
    <t>DistanceAvg</t>
  </si>
  <si>
    <t>Cluster Dist</t>
  </si>
  <si>
    <t>Table de distance</t>
  </si>
  <si>
    <t>De</t>
  </si>
  <si>
    <t>à</t>
  </si>
  <si>
    <t>XMY2</t>
  </si>
  <si>
    <t>aggregate:</t>
  </si>
  <si>
    <t>average:</t>
  </si>
  <si>
    <t xml:space="preserve">Distance </t>
  </si>
  <si>
    <t>Formule</t>
  </si>
  <si>
    <t>IsSelect1</t>
  </si>
  <si>
    <t>IsSelect2</t>
  </si>
  <si>
    <t>Cluster Distance</t>
  </si>
  <si>
    <t>N</t>
  </si>
  <si>
    <t>O</t>
  </si>
  <si>
    <t>P</t>
  </si>
  <si>
    <t>Q</t>
  </si>
  <si>
    <t>S</t>
  </si>
  <si>
    <t>T</t>
  </si>
  <si>
    <t>U</t>
  </si>
  <si>
    <t>V</t>
  </si>
  <si>
    <t>W</t>
  </si>
  <si>
    <t>X</t>
  </si>
  <si>
    <t>Y</t>
  </si>
  <si>
    <t>Z</t>
  </si>
  <si>
    <t>Cluster</t>
  </si>
  <si>
    <t>Nb</t>
  </si>
  <si>
    <t>Material ∆</t>
  </si>
  <si>
    <t>Labor</t>
  </si>
  <si>
    <t>Labor ∆</t>
  </si>
  <si>
    <t>Cluster 1</t>
  </si>
  <si>
    <t>Cluster 3</t>
  </si>
  <si>
    <t>Cluster 2</t>
  </si>
  <si>
    <t>Noise</t>
  </si>
  <si>
    <t>Row from</t>
  </si>
  <si>
    <t>Row to</t>
  </si>
  <si>
    <t>From</t>
  </si>
  <si>
    <t>To</t>
  </si>
  <si>
    <t>Clusters Table</t>
  </si>
  <si>
    <t>Distances Table</t>
  </si>
  <si>
    <t>Cluster No</t>
  </si>
  <si>
    <t>No</t>
  </si>
  <si>
    <t>Avg Distance</t>
  </si>
  <si>
    <t>Cluster Factory</t>
  </si>
  <si>
    <t>Series name:</t>
  </si>
  <si>
    <t>Degrees</t>
  </si>
  <si>
    <t>Radius:</t>
  </si>
  <si>
    <t>Cluster:</t>
  </si>
  <si>
    <t>Name:</t>
  </si>
  <si>
    <t>2 errors</t>
  </si>
  <si>
    <t>1 error</t>
  </si>
  <si>
    <t>Circles</t>
  </si>
  <si>
    <t>Moyenne Pondérée</t>
  </si>
  <si>
    <t>Adouci Simple</t>
  </si>
  <si>
    <t>Adouci Double</t>
  </si>
  <si>
    <t>Model:</t>
  </si>
  <si>
    <t>Qté Adouci 2</t>
  </si>
  <si>
    <t>Coût Adouci 2</t>
  </si>
  <si>
    <t>Minimum</t>
  </si>
  <si>
    <t>Basse clôture</t>
  </si>
  <si>
    <t>Quartile 1</t>
  </si>
  <si>
    <t>Median</t>
  </si>
  <si>
    <t>Quartile 3</t>
  </si>
  <si>
    <t>Haute clôture</t>
  </si>
  <si>
    <t>Interquartile range (IQR)</t>
  </si>
  <si>
    <t>Nb:</t>
  </si>
  <si>
    <t>Quartile 1 ∆</t>
  </si>
  <si>
    <t>Median ∆</t>
  </si>
  <si>
    <t>Quartile 3 ∆</t>
  </si>
  <si>
    <t>Haute clôture ∆</t>
  </si>
  <si>
    <t>check</t>
  </si>
  <si>
    <t>Ω</t>
  </si>
  <si>
    <t>Group Median</t>
  </si>
  <si>
    <t>Group</t>
  </si>
  <si>
    <t>Center Distance</t>
  </si>
  <si>
    <t>Product</t>
  </si>
  <si>
    <t>Average M</t>
  </si>
  <si>
    <t>Grand Mean ok?</t>
  </si>
  <si>
    <t>Line No</t>
  </si>
  <si>
    <t>X − M</t>
  </si>
  <si>
    <t>(X − M) ^2</t>
  </si>
  <si>
    <t>X − μ</t>
  </si>
  <si>
    <t>(X − μ) ^2</t>
  </si>
  <si>
    <t>Μ</t>
  </si>
  <si>
    <t>(Μ − μ) ^2</t>
  </si>
  <si>
    <t>Σ (Μ − μ) ^2</t>
  </si>
  <si>
    <t>Σ (X − Μ) ^2</t>
  </si>
  <si>
    <t>Σ (X − μ) ^2</t>
  </si>
  <si>
    <t>Sum of Squares Within Group</t>
  </si>
  <si>
    <t>Sum of Squares Between Group</t>
  </si>
  <si>
    <t>Sum of Squares Total</t>
  </si>
  <si>
    <t>Total Sum of squares ok?</t>
  </si>
  <si>
    <t>Group Mean</t>
  </si>
  <si>
    <t>Squares Between Groups</t>
  </si>
  <si>
    <t>Grand Mean (μ):</t>
  </si>
  <si>
    <t>Unequal group size effect</t>
  </si>
  <si>
    <t>Cost</t>
  </si>
  <si>
    <t>Cost = X</t>
  </si>
  <si>
    <t>Cluster Centers</t>
  </si>
  <si>
    <t>Ω Center</t>
  </si>
  <si>
    <t>Fixe:</t>
  </si>
  <si>
    <t>Group 1:</t>
  </si>
  <si>
    <t>Group 2:</t>
  </si>
  <si>
    <t>Group 3:</t>
  </si>
  <si>
    <t>Group 4:</t>
  </si>
  <si>
    <t>Conciliation BV &lt;--&gt; EF</t>
  </si>
  <si>
    <t>Identifier éléments fixes évidents ou non reliés aux opérations</t>
  </si>
  <si>
    <t>Produits: Vérification inventaire</t>
  </si>
  <si>
    <t>Faire le pont</t>
  </si>
  <si>
    <t>Liste de produits / services</t>
  </si>
  <si>
    <t>Concilier la base d'imputation (sur une base matérielle)</t>
  </si>
  <si>
    <t>Conciliation du prix de revient</t>
  </si>
  <si>
    <t>Vérification de la facturation</t>
  </si>
  <si>
    <t>-Obtenir BV et mapping dans fichier XL</t>
  </si>
  <si>
    <t>-Valider les EF ligne par ligne</t>
  </si>
  <si>
    <t>-Vérifier changement au mapping vs dernier EF vérifiés</t>
  </si>
  <si>
    <t>-Services: Concilier avec la variations d'actifs intangibles</t>
  </si>
  <si>
    <t>-Concilier tout poste de bilan affectant matérialement les résultats</t>
  </si>
  <si>
    <t>-Obtenir les catégories de produits / services</t>
  </si>
  <si>
    <t>-Faire analyse exploratoire de grappe</t>
  </si>
  <si>
    <t>-Expliquer categories &lt;--&gt; grappes</t>
  </si>
  <si>
    <t>-Si pas de grappe: Établir une base d'imputation vérifiable</t>
  </si>
  <si>
    <t>-Conciler consommation de materiaux avec inventaire par période</t>
  </si>
  <si>
    <t>-Concilier MOD avec paie par période</t>
  </si>
  <si>
    <t>-Faire fichier de prix de revient par période / catégorie / grappe</t>
  </si>
  <si>
    <t>-Calculer la marge d'erreur du prix de revient actuel</t>
  </si>
  <si>
    <t>-Calculer le prix de revient optimal et sa marge d'erreur</t>
  </si>
  <si>
    <t>-Obtenir nb de jours d'inventaire et établir ABC</t>
  </si>
  <si>
    <t>-Concilier l'absortion des variances</t>
  </si>
  <si>
    <t>-PPV: Nb de jours d'achat</t>
  </si>
  <si>
    <t>-WIP vs MOD: Nb de jours de production</t>
  </si>
  <si>
    <t>-FG: Nb de jours de ventes futures</t>
  </si>
  <si>
    <t>-Concilier inventaire et liste de produits</t>
  </si>
  <si>
    <t>-Concilier inventaire et les prix de revient actuels et optimals</t>
  </si>
  <si>
    <t>-Obtenir nb de jours de ventes aux registres et établir ABC</t>
  </si>
  <si>
    <t>-Concilier nb de jours aux EF vs registres</t>
  </si>
  <si>
    <t>-Vérifier facturation matériel et notes de crédits pour la nb de jours de ventes précédent la date de vérification</t>
  </si>
  <si>
    <t>-Concilier l'inventaire</t>
  </si>
  <si>
    <t>-Inv fin = Inv début + achat + absorption - consommation</t>
  </si>
  <si>
    <t>Produits: Vérification des actifs incorporelles, dépenses payées d'avance</t>
  </si>
  <si>
    <t>-Concilier le pont vs les revenus et dépenses</t>
  </si>
  <si>
    <t>-Établir un P&amp;L par segment et son historique</t>
  </si>
  <si>
    <t>-Si oui: Évaluer le processus de feedback entre dept production et comptabilité</t>
  </si>
  <si>
    <t>-Évaluer si consensus sur prix de revient existe entre finance et production</t>
  </si>
  <si>
    <t>-Évaluer si prix de ventes (soumission) sont reliés aux mêmes unités de mesure que le prix de revient</t>
  </si>
  <si>
    <t>-Évaluer les contrôles des prix de ventes</t>
  </si>
  <si>
    <t>-Concilier contrôles avec médianne des prix de ventes</t>
  </si>
  <si>
    <t>-Concilier les variations de volumes, prix (variance de mix sont inclus dans prix moyens)</t>
  </si>
  <si>
    <t>-Si possible: Concilier variance de mix avec test du prix moyen (mix ∆ = prix moyen fin - prix moyen début)</t>
  </si>
  <si>
    <t>-Ne pas separer semi-variables et variables.  Les fixes doivent etre clairement fixes.</t>
  </si>
  <si>
    <t>Optionel: Contrôles internes</t>
  </si>
  <si>
    <t>-Expliquer si le business case des gestionnaires concorde avec historique</t>
  </si>
  <si>
    <t>-Décider si produits absent de la liste sont désuets, contrôle interne déficient, etc.</t>
  </si>
  <si>
    <t>-Estimer l'impact de la différence sur la provision d'inventaire</t>
  </si>
  <si>
    <t>-Établir une liste des écarts d'inventaire et leurs impact sur la provision d'inventaire</t>
  </si>
  <si>
    <t>-Provision de désuetude: Conciliation des nb de jours de ventes d'inventaire</t>
  </si>
  <si>
    <t>-Provision sur absorptions des variances: Conciliation des nb de jours lors de l'absorption des variances</t>
  </si>
  <si>
    <t>-Provision sur cout des produits: Si prix de ventes moins prix de revient est sous marge brute ==&gt; provision</t>
  </si>
  <si>
    <t>-Produits: Concilier avec la variation d'inventaire au bilan</t>
  </si>
  <si>
    <t>-Faire le pont</t>
  </si>
  <si>
    <t>Compte no</t>
  </si>
  <si>
    <t>Montant</t>
  </si>
  <si>
    <t>Mapping</t>
  </si>
  <si>
    <t>Cash</t>
  </si>
  <si>
    <t>Emprunt</t>
  </si>
  <si>
    <t>%</t>
  </si>
  <si>
    <t>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</si>
</sst>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.00_);_(* \(#,##0.00\);_(* &quot;-&quot;_);_(@_)"/>
    <numFmt numFmtId="165" formatCode="#,##0.0000_);\(#,##0.0000\)"/>
    <numFmt numFmtId="166" formatCode="#,##0.0"/>
  </numFmts>
  <fonts count="15">
    <font>
      <sz val="11"/>
      <color theme="1"/>
      <name val="Calibri"/>
      <family val="2"/>
      <scheme val="minor"/>
    </font>
    <font>
      <b/>
      <sz val="10"/>
      <name val="Comic Sans MS"/>
      <family val="4"/>
    </font>
    <font>
      <b/>
      <sz val="8"/>
      <color indexed="81"/>
      <name val="Tahoma"/>
      <family val="2"/>
    </font>
    <font>
      <sz val="10"/>
      <name val="Comic Sans MS"/>
      <family val="4"/>
    </font>
    <font>
      <b/>
      <sz val="10"/>
      <color indexed="10"/>
      <name val="JTI"/>
    </font>
    <font>
      <b/>
      <sz val="10"/>
      <color indexed="48"/>
      <name val="JTI"/>
    </font>
    <font>
      <b/>
      <sz val="10"/>
      <color rgb="FFFF0000"/>
      <name val="JTI"/>
    </font>
    <font>
      <b/>
      <sz val="10"/>
      <name val="JTI"/>
    </font>
    <font>
      <sz val="10"/>
      <name val="JTI"/>
    </font>
    <font>
      <sz val="10"/>
      <color rgb="FF0070C0"/>
      <name val="Comic Sans MS"/>
      <family val="4"/>
    </font>
    <font>
      <b/>
      <sz val="10"/>
      <color rgb="FF0070C0"/>
      <name val="Comic Sans MS"/>
      <family val="4"/>
    </font>
    <font>
      <sz val="11"/>
      <name val="JTI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2" borderId="0">
      <alignment horizontal="center" wrapText="1"/>
    </xf>
    <xf numFmtId="0" fontId="3" fillId="0" borderId="0">
      <alignment horizontal="center" wrapText="1"/>
    </xf>
    <xf numFmtId="41" fontId="3" fillId="0" borderId="0">
      <alignment wrapText="1"/>
    </xf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13">
    <xf numFmtId="0" fontId="0" fillId="0" borderId="0" xfId="0"/>
    <xf numFmtId="0" fontId="1" fillId="2" borderId="0" xfId="1">
      <alignment horizontal="center" wrapText="1"/>
    </xf>
    <xf numFmtId="0" fontId="0" fillId="0" borderId="0" xfId="0" applyAlignment="1">
      <alignment horizontal="center" wrapText="1"/>
    </xf>
    <xf numFmtId="41" fontId="3" fillId="0" borderId="0" xfId="3">
      <alignment wrapText="1"/>
    </xf>
    <xf numFmtId="0" fontId="3" fillId="0" borderId="0" xfId="3" applyNumberFormat="1" applyAlignment="1">
      <alignment horizontal="center" wrapText="1"/>
    </xf>
    <xf numFmtId="41" fontId="4" fillId="0" borderId="0" xfId="3" applyFont="1" applyAlignment="1">
      <alignment horizontal="right"/>
    </xf>
    <xf numFmtId="41" fontId="5" fillId="0" borderId="0" xfId="3" applyFont="1" applyAlignment="1">
      <alignment horizontal="left"/>
    </xf>
    <xf numFmtId="41" fontId="6" fillId="2" borderId="1" xfId="3" applyFont="1" applyFill="1" applyBorder="1" applyAlignment="1">
      <alignment horizontal="center"/>
    </xf>
    <xf numFmtId="41" fontId="6" fillId="2" borderId="2" xfId="3" applyFont="1" applyFill="1" applyBorder="1" applyAlignment="1">
      <alignment horizontal="center"/>
    </xf>
    <xf numFmtId="41" fontId="7" fillId="2" borderId="2" xfId="3" applyFont="1" applyFill="1" applyBorder="1" applyAlignment="1">
      <alignment horizontal="center"/>
    </xf>
    <xf numFmtId="41" fontId="7" fillId="2" borderId="3" xfId="3" applyFont="1" applyFill="1" applyBorder="1" applyAlignment="1">
      <alignment horizontal="center"/>
    </xf>
    <xf numFmtId="41" fontId="7" fillId="0" borderId="4" xfId="3" applyFont="1" applyBorder="1" applyAlignment="1">
      <alignment horizontal="center"/>
    </xf>
    <xf numFmtId="41" fontId="7" fillId="0" borderId="5" xfId="3" applyFont="1" applyBorder="1" applyAlignment="1">
      <alignment horizontal="center"/>
    </xf>
    <xf numFmtId="0" fontId="8" fillId="0" borderId="5" xfId="3" applyNumberFormat="1" applyFont="1" applyBorder="1" applyAlignment="1">
      <alignment horizontal="center"/>
    </xf>
    <xf numFmtId="0" fontId="3" fillId="0" borderId="5" xfId="3" applyNumberFormat="1" applyBorder="1" applyAlignment="1">
      <alignment horizontal="center"/>
    </xf>
    <xf numFmtId="0" fontId="3" fillId="0" borderId="6" xfId="3" applyNumberFormat="1" applyBorder="1" applyAlignment="1">
      <alignment horizontal="center"/>
    </xf>
    <xf numFmtId="41" fontId="7" fillId="0" borderId="7" xfId="3" applyFont="1" applyBorder="1" applyAlignment="1">
      <alignment horizontal="center"/>
    </xf>
    <xf numFmtId="41" fontId="7" fillId="0" borderId="8" xfId="3" applyFont="1" applyBorder="1" applyAlignment="1">
      <alignment horizontal="center"/>
    </xf>
    <xf numFmtId="0" fontId="8" fillId="0" borderId="8" xfId="3" applyNumberFormat="1" applyFont="1" applyBorder="1" applyAlignment="1">
      <alignment horizontal="center"/>
    </xf>
    <xf numFmtId="0" fontId="3" fillId="0" borderId="8" xfId="3" applyNumberFormat="1" applyBorder="1" applyAlignment="1">
      <alignment horizontal="center"/>
    </xf>
    <xf numFmtId="0" fontId="3" fillId="0" borderId="9" xfId="3" applyNumberFormat="1" applyBorder="1" applyAlignment="1">
      <alignment horizontal="center"/>
    </xf>
    <xf numFmtId="41" fontId="5" fillId="0" borderId="0" xfId="3" applyFont="1">
      <alignment wrapText="1"/>
    </xf>
    <xf numFmtId="41" fontId="7" fillId="0" borderId="10" xfId="3" applyFont="1" applyBorder="1" applyAlignment="1">
      <alignment horizontal="center"/>
    </xf>
    <xf numFmtId="41" fontId="7" fillId="0" borderId="11" xfId="3" applyFont="1" applyBorder="1" applyAlignment="1">
      <alignment horizontal="center"/>
    </xf>
    <xf numFmtId="0" fontId="8" fillId="0" borderId="11" xfId="3" applyNumberFormat="1" applyFont="1" applyBorder="1" applyAlignment="1">
      <alignment horizontal="center"/>
    </xf>
    <xf numFmtId="0" fontId="3" fillId="0" borderId="11" xfId="3" applyNumberFormat="1" applyBorder="1" applyAlignment="1">
      <alignment horizontal="center"/>
    </xf>
    <xf numFmtId="0" fontId="3" fillId="0" borderId="12" xfId="3" applyNumberFormat="1" applyBorder="1" applyAlignment="1">
      <alignment horizontal="center"/>
    </xf>
    <xf numFmtId="41" fontId="3" fillId="0" borderId="0" xfId="3" applyAlignment="1">
      <alignment horizontal="center" wrapText="1"/>
    </xf>
    <xf numFmtId="41" fontId="3" fillId="0" borderId="0" xfId="3" applyAlignment="1">
      <alignment horizontal="right"/>
    </xf>
    <xf numFmtId="41" fontId="1" fillId="0" borderId="0" xfId="3" applyFont="1" applyAlignment="1">
      <alignment horizontal="center" wrapText="1"/>
    </xf>
    <xf numFmtId="41" fontId="9" fillId="3" borderId="0" xfId="3" applyFont="1" applyFill="1">
      <alignment wrapText="1"/>
    </xf>
    <xf numFmtId="41" fontId="3" fillId="0" borderId="0" xfId="3" applyAlignment="1"/>
    <xf numFmtId="41" fontId="10" fillId="3" borderId="0" xfId="3" applyFont="1" applyFill="1">
      <alignment wrapText="1"/>
    </xf>
    <xf numFmtId="164" fontId="10" fillId="3" borderId="0" xfId="3" applyNumberFormat="1" applyFont="1" applyFill="1">
      <alignment wrapText="1"/>
    </xf>
    <xf numFmtId="41" fontId="1" fillId="0" borderId="0" xfId="3" applyFont="1" applyAlignment="1">
      <alignment horizontal="right"/>
    </xf>
    <xf numFmtId="4" fontId="1" fillId="0" borderId="0" xfId="3" applyNumberFormat="1" applyFont="1">
      <alignment wrapText="1"/>
    </xf>
    <xf numFmtId="41" fontId="3" fillId="0" borderId="0" xfId="3" applyAlignment="1">
      <alignment horizontal="right" wrapText="1"/>
    </xf>
    <xf numFmtId="41" fontId="1" fillId="5" borderId="0" xfId="3" applyFont="1" applyFill="1" applyAlignment="1">
      <alignment horizontal="centerContinuous"/>
    </xf>
    <xf numFmtId="41" fontId="1" fillId="5" borderId="0" xfId="3" applyFont="1" applyFill="1" applyAlignment="1">
      <alignment horizontal="centerContinuous" wrapText="1"/>
    </xf>
    <xf numFmtId="9" fontId="3" fillId="6" borderId="0" xfId="3" applyNumberFormat="1" applyFill="1" applyAlignment="1">
      <alignment horizontal="center" wrapText="1"/>
    </xf>
    <xf numFmtId="165" fontId="3" fillId="0" borderId="0" xfId="3" quotePrefix="1" applyNumberFormat="1" applyAlignment="1"/>
    <xf numFmtId="41" fontId="1" fillId="7" borderId="0" xfId="3" applyFont="1" applyFill="1" applyAlignment="1">
      <alignment horizontal="center" wrapText="1"/>
    </xf>
    <xf numFmtId="41" fontId="1" fillId="0" borderId="0" xfId="3" quotePrefix="1" applyFont="1" applyAlignment="1">
      <alignment horizontal="center" wrapText="1"/>
    </xf>
    <xf numFmtId="165" fontId="3" fillId="0" borderId="0" xfId="3" applyNumberFormat="1">
      <alignment wrapText="1"/>
    </xf>
    <xf numFmtId="41" fontId="3" fillId="7" borderId="0" xfId="3" applyFill="1">
      <alignment wrapText="1"/>
    </xf>
    <xf numFmtId="9" fontId="0" fillId="0" borderId="0" xfId="4" applyFont="1" applyAlignment="1">
      <alignment wrapText="1"/>
    </xf>
    <xf numFmtId="9" fontId="0" fillId="0" borderId="0" xfId="4" applyFont="1" applyBorder="1" applyAlignment="1">
      <alignment wrapText="1"/>
    </xf>
    <xf numFmtId="41" fontId="1" fillId="7" borderId="13" xfId="3" applyFont="1" applyFill="1" applyBorder="1">
      <alignment wrapText="1"/>
    </xf>
    <xf numFmtId="41" fontId="3" fillId="0" borderId="13" xfId="3" applyBorder="1">
      <alignment wrapText="1"/>
    </xf>
    <xf numFmtId="9" fontId="0" fillId="0" borderId="13" xfId="4" applyFont="1" applyBorder="1" applyAlignment="1">
      <alignment wrapText="1"/>
    </xf>
    <xf numFmtId="9" fontId="3" fillId="0" borderId="0" xfId="3" applyNumberFormat="1">
      <alignment wrapText="1"/>
    </xf>
    <xf numFmtId="4" fontId="3" fillId="0" borderId="0" xfId="3" applyNumberFormat="1">
      <alignment wrapText="1"/>
    </xf>
    <xf numFmtId="0" fontId="0" fillId="0" borderId="0" xfId="0" applyAlignment="1">
      <alignment wrapText="1"/>
    </xf>
    <xf numFmtId="0" fontId="0" fillId="7" borderId="0" xfId="0" applyFill="1" applyAlignment="1">
      <alignment horizontal="center" wrapText="1"/>
    </xf>
    <xf numFmtId="0" fontId="0" fillId="0" borderId="0" xfId="0" applyAlignment="1">
      <alignment horizontal="right"/>
    </xf>
    <xf numFmtId="0" fontId="0" fillId="7" borderId="0" xfId="0" applyFill="1" applyAlignment="1">
      <alignment horizontal="right" wrapText="1"/>
    </xf>
    <xf numFmtId="0" fontId="0" fillId="8" borderId="0" xfId="0" applyFill="1" applyAlignment="1">
      <alignment wrapText="1"/>
    </xf>
    <xf numFmtId="0" fontId="0" fillId="8" borderId="0" xfId="0" applyFill="1" applyAlignment="1">
      <alignment horizontal="center" wrapText="1"/>
    </xf>
    <xf numFmtId="4" fontId="3" fillId="10" borderId="0" xfId="3" applyNumberFormat="1" applyFill="1">
      <alignment wrapText="1"/>
    </xf>
    <xf numFmtId="4" fontId="3" fillId="11" borderId="0" xfId="3" applyNumberFormat="1" applyFill="1">
      <alignment wrapText="1"/>
    </xf>
    <xf numFmtId="41" fontId="1" fillId="12" borderId="0" xfId="3" applyFont="1" applyFill="1" applyAlignment="1"/>
    <xf numFmtId="41" fontId="1" fillId="12" borderId="0" xfId="3" applyFont="1" applyFill="1" applyAlignment="1">
      <alignment horizontal="center"/>
    </xf>
    <xf numFmtId="41" fontId="1" fillId="11" borderId="0" xfId="3" applyFont="1" applyFill="1" applyAlignment="1"/>
    <xf numFmtId="41" fontId="1" fillId="11" borderId="0" xfId="3" applyFont="1" applyFill="1" applyAlignment="1">
      <alignment horizontal="center"/>
    </xf>
    <xf numFmtId="41" fontId="3" fillId="11" borderId="0" xfId="3" applyFill="1">
      <alignment wrapText="1"/>
    </xf>
    <xf numFmtId="41" fontId="3" fillId="9" borderId="0" xfId="3" applyFill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8" borderId="14" xfId="0" applyFill="1" applyBorder="1" applyAlignment="1">
      <alignment horizontal="center" wrapText="1"/>
    </xf>
    <xf numFmtId="9" fontId="3" fillId="6" borderId="15" xfId="4" applyFont="1" applyFill="1" applyBorder="1" applyAlignment="1">
      <alignment horizontal="center" wrapText="1"/>
    </xf>
    <xf numFmtId="41" fontId="1" fillId="0" borderId="13" xfId="3" applyFont="1" applyBorder="1">
      <alignment wrapText="1"/>
    </xf>
    <xf numFmtId="41" fontId="1" fillId="13" borderId="0" xfId="3" applyFont="1" applyFill="1" applyAlignment="1">
      <alignment horizontal="center" wrapText="1"/>
    </xf>
    <xf numFmtId="41" fontId="3" fillId="13" borderId="0" xfId="3" applyFill="1">
      <alignment wrapText="1"/>
    </xf>
    <xf numFmtId="41" fontId="1" fillId="13" borderId="13" xfId="3" applyFont="1" applyFill="1" applyBorder="1">
      <alignment wrapText="1"/>
    </xf>
    <xf numFmtId="41" fontId="3" fillId="13" borderId="13" xfId="3" applyFill="1" applyBorder="1">
      <alignment wrapText="1"/>
    </xf>
    <xf numFmtId="41" fontId="3" fillId="0" borderId="16" xfId="3" applyBorder="1">
      <alignment wrapText="1"/>
    </xf>
    <xf numFmtId="41" fontId="3" fillId="0" borderId="17" xfId="3" applyBorder="1">
      <alignment wrapText="1"/>
    </xf>
    <xf numFmtId="41" fontId="3" fillId="0" borderId="18" xfId="3" applyBorder="1">
      <alignment wrapText="1"/>
    </xf>
    <xf numFmtId="41" fontId="3" fillId="13" borderId="0" xfId="3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center"/>
    </xf>
    <xf numFmtId="0" fontId="0" fillId="0" borderId="13" xfId="0" applyBorder="1"/>
    <xf numFmtId="41" fontId="1" fillId="0" borderId="0" xfId="3" applyFont="1" applyAlignment="1">
      <alignment horizontal="center"/>
    </xf>
    <xf numFmtId="41" fontId="1" fillId="0" borderId="0" xfId="3" applyFont="1" applyAlignment="1"/>
    <xf numFmtId="4" fontId="3" fillId="0" borderId="13" xfId="3" applyNumberFormat="1" applyBorder="1">
      <alignment wrapText="1"/>
    </xf>
    <xf numFmtId="166" fontId="3" fillId="0" borderId="0" xfId="3" applyNumberFormat="1">
      <alignment wrapText="1"/>
    </xf>
    <xf numFmtId="41" fontId="0" fillId="0" borderId="0" xfId="0" applyNumberFormat="1"/>
    <xf numFmtId="9" fontId="0" fillId="0" borderId="0" xfId="0" applyNumberFormat="1"/>
    <xf numFmtId="9" fontId="3" fillId="0" borderId="0" xfId="5" applyFont="1" applyAlignment="1">
      <alignment wrapText="1"/>
    </xf>
    <xf numFmtId="9" fontId="3" fillId="3" borderId="0" xfId="5" applyFont="1" applyFill="1" applyAlignment="1">
      <alignment horizontal="center" wrapText="1"/>
    </xf>
    <xf numFmtId="0" fontId="9" fillId="3" borderId="0" xfId="3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4" fontId="0" fillId="0" borderId="0" xfId="0" applyNumberFormat="1"/>
    <xf numFmtId="0" fontId="0" fillId="3" borderId="0" xfId="0" applyFill="1"/>
    <xf numFmtId="3" fontId="0" fillId="0" borderId="0" xfId="0" applyNumberFormat="1"/>
    <xf numFmtId="4" fontId="0" fillId="0" borderId="20" xfId="0" applyNumberFormat="1" applyBorder="1"/>
    <xf numFmtId="4" fontId="0" fillId="0" borderId="21" xfId="0" applyNumberFormat="1" applyBorder="1"/>
    <xf numFmtId="4" fontId="0" fillId="0" borderId="23" xfId="0" applyNumberFormat="1" applyBorder="1"/>
    <xf numFmtId="4" fontId="0" fillId="0" borderId="25" xfId="0" applyNumberFormat="1" applyBorder="1"/>
    <xf numFmtId="4" fontId="0" fillId="0" borderId="26" xfId="0" applyNumberFormat="1" applyBorder="1"/>
    <xf numFmtId="0" fontId="0" fillId="0" borderId="19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4" xfId="0" applyBorder="1" applyAlignment="1">
      <alignment horizontal="right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3" fillId="0" borderId="0" xfId="3" applyNumberFormat="1" applyAlignment="1">
      <alignment horizontal="center"/>
    </xf>
    <xf numFmtId="4" fontId="0" fillId="0" borderId="13" xfId="0" applyNumberFormat="1" applyBorder="1"/>
    <xf numFmtId="0" fontId="14" fillId="7" borderId="0" xfId="0" applyFont="1" applyFill="1" applyAlignment="1">
      <alignment horizont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indent="1"/>
    </xf>
    <xf numFmtId="0" fontId="0" fillId="0" borderId="0" xfId="0" quotePrefix="1" applyAlignment="1">
      <alignment horizontal="left" indent="2"/>
    </xf>
  </cellXfs>
  <cellStyles count="6">
    <cellStyle name="Colored" xfId="2" xr:uid="{00000000-0005-0000-0000-000000000000}"/>
    <cellStyle name="HdgTbl" xfId="1" xr:uid="{00000000-0005-0000-0000-000001000000}"/>
    <cellStyle name="Normal" xfId="0" builtinId="0"/>
    <cellStyle name="Normal 2" xfId="3" xr:uid="{00000000-0005-0000-0000-000003000000}"/>
    <cellStyle name="Percent" xfId="5" builtinId="5"/>
    <cellStyle name="Percent 2" xfId="4" xr:uid="{00000000-0005-0000-0000-000005000000}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Coût</a:t>
            </a:r>
            <a:r>
              <a:rPr lang="en-CA" baseline="0"/>
              <a:t>s et quantités réels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Smoothing!$G$11</c:f>
              <c:strCache>
                <c:ptCount val="1"/>
                <c:pt idx="0">
                  <c:v> Coût Réel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Smoothing!$G$12:$G$35</c:f>
              <c:numCache>
                <c:formatCode>_(* #,##0_);_(* \(#,##0\);_(* "-"_);_(@_)</c:formatCode>
                <c:ptCount val="24"/>
                <c:pt idx="0">
                  <c:v>18561.102418134495</c:v>
                </c:pt>
                <c:pt idx="1">
                  <c:v>17024.349944053905</c:v>
                </c:pt>
                <c:pt idx="2">
                  <c:v>15448.722999494315</c:v>
                </c:pt>
                <c:pt idx="3">
                  <c:v>16196.322628849093</c:v>
                </c:pt>
                <c:pt idx="4">
                  <c:v>15700.624283125211</c:v>
                </c:pt>
                <c:pt idx="5">
                  <c:v>10932.179501706047</c:v>
                </c:pt>
                <c:pt idx="6">
                  <c:v>17327.911906231449</c:v>
                </c:pt>
                <c:pt idx="7">
                  <c:v>18418.324993000795</c:v>
                </c:pt>
                <c:pt idx="8">
                  <c:v>32261.226670614473</c:v>
                </c:pt>
                <c:pt idx="9">
                  <c:v>20210.526693317559</c:v>
                </c:pt>
                <c:pt idx="10">
                  <c:v>18332.088869404735</c:v>
                </c:pt>
                <c:pt idx="11">
                  <c:v>17466.195475237975</c:v>
                </c:pt>
                <c:pt idx="12">
                  <c:v>22372.11923219679</c:v>
                </c:pt>
                <c:pt idx="13">
                  <c:v>17961.8203598379</c:v>
                </c:pt>
                <c:pt idx="14">
                  <c:v>11521.318519652585</c:v>
                </c:pt>
                <c:pt idx="15">
                  <c:v>24593.499847827952</c:v>
                </c:pt>
                <c:pt idx="16">
                  <c:v>8664.5625345932021</c:v>
                </c:pt>
                <c:pt idx="17">
                  <c:v>16650.064226648825</c:v>
                </c:pt>
                <c:pt idx="18">
                  <c:v>22249.701244943011</c:v>
                </c:pt>
                <c:pt idx="19">
                  <c:v>18601.183341447493</c:v>
                </c:pt>
                <c:pt idx="20">
                  <c:v>21782.172150139049</c:v>
                </c:pt>
                <c:pt idx="21">
                  <c:v>13323.325886307503</c:v>
                </c:pt>
                <c:pt idx="22">
                  <c:v>13443.157682418116</c:v>
                </c:pt>
                <c:pt idx="23">
                  <c:v>12380.709749227066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C-49C7-9604-4562BB4CF544}"/>
            </c:ext>
          </c:extLst>
        </c:ser>
        <c:ser>
          <c:idx val="2"/>
          <c:order val="2"/>
          <c:tx>
            <c:strRef>
              <c:f>Smoothing!$H$11</c:f>
              <c:strCache>
                <c:ptCount val="1"/>
                <c:pt idx="0">
                  <c:v> Coût Estimé 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Smoothing!$H$12:$H$35</c:f>
              <c:numCache>
                <c:formatCode>_(* #,##0_);_(* \(#,##0\);_(* "-"_);_(@_)</c:formatCode>
                <c:ptCount val="24"/>
                <c:pt idx="0">
                  <c:v>16835.764877692385</c:v>
                </c:pt>
                <c:pt idx="1">
                  <c:v>22994.461317386907</c:v>
                </c:pt>
                <c:pt idx="2">
                  <c:v>16801.120125532063</c:v>
                </c:pt>
                <c:pt idx="3">
                  <c:v>12987.750264330463</c:v>
                </c:pt>
                <c:pt idx="4">
                  <c:v>18423.084014879656</c:v>
                </c:pt>
                <c:pt idx="5">
                  <c:v>12163.341598078319</c:v>
                </c:pt>
                <c:pt idx="6">
                  <c:v>16874.404074357837</c:v>
                </c:pt>
                <c:pt idx="7">
                  <c:v>17909.149498950312</c:v>
                </c:pt>
                <c:pt idx="8">
                  <c:v>23779.76423032186</c:v>
                </c:pt>
                <c:pt idx="9">
                  <c:v>18392.654657390653</c:v>
                </c:pt>
                <c:pt idx="10">
                  <c:v>20580.491319390385</c:v>
                </c:pt>
                <c:pt idx="11">
                  <c:v>19333.124684642888</c:v>
                </c:pt>
                <c:pt idx="12">
                  <c:v>18113.750871390101</c:v>
                </c:pt>
                <c:pt idx="13">
                  <c:v>19165.793563338266</c:v>
                </c:pt>
                <c:pt idx="14">
                  <c:v>16869.623177125719</c:v>
                </c:pt>
                <c:pt idx="15">
                  <c:v>20500.786276932486</c:v>
                </c:pt>
                <c:pt idx="16">
                  <c:v>15416.103611373452</c:v>
                </c:pt>
                <c:pt idx="17">
                  <c:v>18157.714243802369</c:v>
                </c:pt>
                <c:pt idx="18">
                  <c:v>16529.148313483747</c:v>
                </c:pt>
                <c:pt idx="19">
                  <c:v>17766.389585363882</c:v>
                </c:pt>
                <c:pt idx="20">
                  <c:v>23566.258151517242</c:v>
                </c:pt>
                <c:pt idx="21">
                  <c:v>10978.82878218189</c:v>
                </c:pt>
                <c:pt idx="22">
                  <c:v>12373.606153139288</c:v>
                </c:pt>
                <c:pt idx="23">
                  <c:v>14910.097765807439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C-49C7-9604-4562BB4CF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35560"/>
        <c:axId val="472378920"/>
      </c:lineChart>
      <c:lineChart>
        <c:grouping val="standard"/>
        <c:varyColors val="0"/>
        <c:ser>
          <c:idx val="1"/>
          <c:order val="1"/>
          <c:tx>
            <c:strRef>
              <c:f>Smoothing!$F$11</c:f>
              <c:strCache>
                <c:ptCount val="1"/>
                <c:pt idx="0">
                  <c:v> Qté Réel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Smoothing!$F$12:$F$35</c:f>
              <c:numCache>
                <c:formatCode>_(* #,##0_);_(* \(#,##0\);_(* "-"_);_(@_)</c:formatCode>
                <c:ptCount val="24"/>
                <c:pt idx="0">
                  <c:v>89.237468702124616</c:v>
                </c:pt>
                <c:pt idx="1">
                  <c:v>159.09519105606489</c:v>
                </c:pt>
                <c:pt idx="2">
                  <c:v>88.844495367404321</c:v>
                </c:pt>
                <c:pt idx="3">
                  <c:v>45.589670973117663</c:v>
                </c:pt>
                <c:pt idx="4">
                  <c:v>107.24233396192699</c:v>
                </c:pt>
                <c:pt idx="5">
                  <c:v>36.238453182607259</c:v>
                </c:pt>
                <c:pt idx="6">
                  <c:v>89.675750780006737</c:v>
                </c:pt>
                <c:pt idx="7">
                  <c:v>101.41280573733411</c:v>
                </c:pt>
                <c:pt idx="8">
                  <c:v>168.00283464472523</c:v>
                </c:pt>
                <c:pt idx="9">
                  <c:v>106.89717559478053</c:v>
                </c:pt>
                <c:pt idx="10">
                  <c:v>131.7136749280923</c:v>
                </c:pt>
                <c:pt idx="11">
                  <c:v>117.56487040476341</c:v>
                </c:pt>
                <c:pt idx="12">
                  <c:v>103.73358676771768</c:v>
                </c:pt>
                <c:pt idx="13">
                  <c:v>115.6668435856576</c:v>
                </c:pt>
                <c:pt idx="14">
                  <c:v>89.621521350984807</c:v>
                </c:pt>
                <c:pt idx="15">
                  <c:v>130.8095854376044</c:v>
                </c:pt>
                <c:pt idx="16">
                  <c:v>73.134336562026746</c:v>
                </c:pt>
                <c:pt idx="17">
                  <c:v>104.23226065005494</c:v>
                </c:pt>
                <c:pt idx="18">
                  <c:v>85.759535502892504</c:v>
                </c:pt>
                <c:pt idx="19">
                  <c:v>99.793488645763375</c:v>
                </c:pt>
                <c:pt idx="20">
                  <c:v>165.58104806698782</c:v>
                </c:pt>
                <c:pt idx="21">
                  <c:v>22.802595736501175</c:v>
                </c:pt>
                <c:pt idx="22">
                  <c:v>38.623471351980221</c:v>
                </c:pt>
                <c:pt idx="23">
                  <c:v>67.394742767276469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C-49C7-9604-4562BB4CF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83624"/>
        <c:axId val="472380880"/>
      </c:lineChart>
      <c:catAx>
        <c:axId val="192235560"/>
        <c:scaling>
          <c:orientation val="minMax"/>
        </c:scaling>
        <c:delete val="1"/>
        <c:axPos val="b"/>
        <c:majorTickMark val="none"/>
        <c:minorTickMark val="none"/>
        <c:tickLblPos val="nextTo"/>
        <c:crossAx val="472378920"/>
        <c:crosses val="autoZero"/>
        <c:auto val="1"/>
        <c:lblAlgn val="ctr"/>
        <c:lblOffset val="100"/>
        <c:noMultiLvlLbl val="0"/>
      </c:catAx>
      <c:valAx>
        <c:axId val="472378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Coût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5560"/>
        <c:crosses val="autoZero"/>
        <c:crossBetween val="between"/>
      </c:valAx>
      <c:valAx>
        <c:axId val="472380880"/>
        <c:scaling>
          <c:orientation val="minMax"/>
          <c:max val="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3624"/>
        <c:crosses val="max"/>
        <c:crossBetween val="between"/>
      </c:valAx>
      <c:catAx>
        <c:axId val="472383624"/>
        <c:scaling>
          <c:orientation val="minMax"/>
        </c:scaling>
        <c:delete val="1"/>
        <c:axPos val="b"/>
        <c:majorTickMark val="out"/>
        <c:minorTickMark val="none"/>
        <c:tickLblPos val="nextTo"/>
        <c:crossAx val="47238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baseline="0">
                <a:effectLst/>
              </a:rPr>
              <a:t>Coûts et quantités adoucis</a:t>
            </a:r>
            <a:endParaRPr lang="en-CA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Smoothing!$Q$11</c:f>
              <c:strCache>
                <c:ptCount val="1"/>
                <c:pt idx="0">
                  <c:v> Coût Adouci 2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Smoothing!$Q$12:$Q$35</c:f>
              <c:numCache>
                <c:formatCode>_(* #,##0_);_(* \(#,##0\);_(* "-"_);_(@_)</c:formatCode>
                <c:ptCount val="24"/>
                <c:pt idx="0">
                  <c:v>18122.814063609163</c:v>
                </c:pt>
                <c:pt idx="1">
                  <c:v>17540.147596276547</c:v>
                </c:pt>
                <c:pt idx="2">
                  <c:v>16327.304606378251</c:v>
                </c:pt>
                <c:pt idx="3">
                  <c:v>16177.824557149459</c:v>
                </c:pt>
                <c:pt idx="4">
                  <c:v>15900.056899934021</c:v>
                </c:pt>
                <c:pt idx="5">
                  <c:v>13088.265384854818</c:v>
                </c:pt>
                <c:pt idx="6">
                  <c:v>15297.329583436724</c:v>
                </c:pt>
                <c:pt idx="7">
                  <c:v>17190.956013727882</c:v>
                </c:pt>
                <c:pt idx="8">
                  <c:v>25786.334910119789</c:v>
                </c:pt>
                <c:pt idx="9">
                  <c:v>23187.15396919303</c:v>
                </c:pt>
                <c:pt idx="10">
                  <c:v>20293.731041754188</c:v>
                </c:pt>
                <c:pt idx="11">
                  <c:v>18522.403352623893</c:v>
                </c:pt>
                <c:pt idx="12">
                  <c:v>20577.160554312999</c:v>
                </c:pt>
                <c:pt idx="13">
                  <c:v>19234.454020026322</c:v>
                </c:pt>
                <c:pt idx="14">
                  <c:v>14811.896142673177</c:v>
                </c:pt>
                <c:pt idx="15">
                  <c:v>20037.63835948817</c:v>
                </c:pt>
                <c:pt idx="16">
                  <c:v>13966.892096535687</c:v>
                </c:pt>
                <c:pt idx="17">
                  <c:v>15096.754778289796</c:v>
                </c:pt>
                <c:pt idx="18">
                  <c:v>19190.903583391861</c:v>
                </c:pt>
                <c:pt idx="19">
                  <c:v>19115.070247617034</c:v>
                </c:pt>
                <c:pt idx="20">
                  <c:v>20610.575484299741</c:v>
                </c:pt>
                <c:pt idx="21">
                  <c:v>16604.966662721778</c:v>
                </c:pt>
                <c:pt idx="22">
                  <c:v>14576.098559952345</c:v>
                </c:pt>
                <c:pt idx="23">
                  <c:v>13214.388097496285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E-40ED-92B7-0587B80B20D8}"/>
            </c:ext>
          </c:extLst>
        </c:ser>
        <c:ser>
          <c:idx val="2"/>
          <c:order val="2"/>
          <c:tx>
            <c:strRef>
              <c:f>Smoothing!$R$11</c:f>
              <c:strCache>
                <c:ptCount val="1"/>
                <c:pt idx="0">
                  <c:v> Coût Estimé 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Smoothing!$R$12:$R$35</c:f>
              <c:numCache>
                <c:formatCode>_(* #,##0_);_(* \(#,##0\);_(* "-"_);_(@_)</c:formatCode>
                <c:ptCount val="24"/>
                <c:pt idx="0">
                  <c:v>17131.041321776487</c:v>
                </c:pt>
                <c:pt idx="1">
                  <c:v>20758.916483280947</c:v>
                </c:pt>
                <c:pt idx="2">
                  <c:v>18725.193692593119</c:v>
                </c:pt>
                <c:pt idx="3">
                  <c:v>15095.079820551982</c:v>
                </c:pt>
                <c:pt idx="4">
                  <c:v>16808.709828250812</c:v>
                </c:pt>
                <c:pt idx="5">
                  <c:v>13974.890378201027</c:v>
                </c:pt>
                <c:pt idx="6">
                  <c:v>15399.189441060753</c:v>
                </c:pt>
                <c:pt idx="7">
                  <c:v>16936.024437497061</c:v>
                </c:pt>
                <c:pt idx="8">
                  <c:v>21289.413156363396</c:v>
                </c:pt>
                <c:pt idx="9">
                  <c:v>19998.656057428274</c:v>
                </c:pt>
                <c:pt idx="10">
                  <c:v>20450.398231028776</c:v>
                </c:pt>
                <c:pt idx="11">
                  <c:v>19976.305767455367</c:v>
                </c:pt>
                <c:pt idx="12">
                  <c:v>18947.908447628321</c:v>
                </c:pt>
                <c:pt idx="13">
                  <c:v>19121.737415085776</c:v>
                </c:pt>
                <c:pt idx="14">
                  <c:v>17835.92103064452</c:v>
                </c:pt>
                <c:pt idx="15">
                  <c:v>19454.62887426715</c:v>
                </c:pt>
                <c:pt idx="16">
                  <c:v>17162.214009575117</c:v>
                </c:pt>
                <c:pt idx="17">
                  <c:v>17630.611624243877</c:v>
                </c:pt>
                <c:pt idx="18">
                  <c:v>16988.885634133891</c:v>
                </c:pt>
                <c:pt idx="19">
                  <c:v>17413.046930533324</c:v>
                </c:pt>
                <c:pt idx="20">
                  <c:v>21294.950496336824</c:v>
                </c:pt>
                <c:pt idx="21">
                  <c:v>15331.837523268288</c:v>
                </c:pt>
                <c:pt idx="22">
                  <c:v>12980.551569480785</c:v>
                </c:pt>
                <c:pt idx="23">
                  <c:v>13765.008395177074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E-40ED-92B7-0587B80B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82056"/>
        <c:axId val="472378136"/>
      </c:lineChart>
      <c:lineChart>
        <c:grouping val="standard"/>
        <c:varyColors val="0"/>
        <c:ser>
          <c:idx val="1"/>
          <c:order val="1"/>
          <c:tx>
            <c:strRef>
              <c:f>Smoothing!$O$11</c:f>
              <c:strCache>
                <c:ptCount val="1"/>
                <c:pt idx="0">
                  <c:v> Qté Adouci 2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Smoothing!$O$12:$O$35</c:f>
              <c:numCache>
                <c:formatCode>_(* #,##0_);_(* \(#,##0\);_(* "-"_);_(@_)</c:formatCode>
                <c:ptCount val="24"/>
                <c:pt idx="0">
                  <c:v>92.828040187415851</c:v>
                </c:pt>
                <c:pt idx="1">
                  <c:v>129.81478448524859</c:v>
                </c:pt>
                <c:pt idx="2">
                  <c:v>109.08066837507575</c:v>
                </c:pt>
                <c:pt idx="3">
                  <c:v>72.071100079588518</c:v>
                </c:pt>
                <c:pt idx="4">
                  <c:v>89.54182111993596</c:v>
                </c:pt>
                <c:pt idx="5">
                  <c:v>60.650596720210274</c:v>
                </c:pt>
                <c:pt idx="6">
                  <c:v>75.171544353862927</c:v>
                </c:pt>
                <c:pt idx="7">
                  <c:v>90.839813109168773</c:v>
                </c:pt>
                <c:pt idx="8">
                  <c:v>135.22327952012589</c:v>
                </c:pt>
                <c:pt idx="9">
                  <c:v>122.06381271280392</c:v>
                </c:pt>
                <c:pt idx="10">
                  <c:v>126.66939353344603</c:v>
                </c:pt>
                <c:pt idx="11">
                  <c:v>121.83594807485218</c:v>
                </c:pt>
                <c:pt idx="12">
                  <c:v>111.35127949842692</c:v>
                </c:pt>
                <c:pt idx="13">
                  <c:v>113.12349251146759</c:v>
                </c:pt>
                <c:pt idx="14">
                  <c:v>100.01439704701107</c:v>
                </c:pt>
                <c:pt idx="15">
                  <c:v>116.51737205019128</c:v>
                </c:pt>
                <c:pt idx="16">
                  <c:v>93.145850525797499</c:v>
                </c:pt>
                <c:pt idx="17">
                  <c:v>97.921236125417693</c:v>
                </c:pt>
                <c:pt idx="18">
                  <c:v>91.378741125223527</c:v>
                </c:pt>
                <c:pt idx="19">
                  <c:v>95.703130668015064</c:v>
                </c:pt>
                <c:pt idx="20">
                  <c:v>135.27973355136172</c:v>
                </c:pt>
                <c:pt idx="21">
                  <c:v>74.484881210711819</c:v>
                </c:pt>
                <c:pt idx="22">
                  <c:v>50.513159893884676</c:v>
                </c:pt>
                <c:pt idx="23">
                  <c:v>58.510817677865873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BE-40ED-92B7-0587B80B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84016"/>
        <c:axId val="472382840"/>
      </c:lineChart>
      <c:catAx>
        <c:axId val="472382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472378136"/>
        <c:crosses val="autoZero"/>
        <c:auto val="1"/>
        <c:lblAlgn val="ctr"/>
        <c:lblOffset val="100"/>
        <c:noMultiLvlLbl val="0"/>
      </c:catAx>
      <c:valAx>
        <c:axId val="472378136"/>
        <c:scaling>
          <c:orientation val="minMax"/>
          <c:max val="3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Coût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2056"/>
        <c:crosses val="autoZero"/>
        <c:crossBetween val="between"/>
      </c:valAx>
      <c:valAx>
        <c:axId val="472382840"/>
        <c:scaling>
          <c:orientation val="minMax"/>
          <c:max val="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4016"/>
        <c:crosses val="max"/>
        <c:crossBetween val="between"/>
      </c:valAx>
      <c:catAx>
        <c:axId val="472384016"/>
        <c:scaling>
          <c:orientation val="minMax"/>
        </c:scaling>
        <c:delete val="1"/>
        <c:axPos val="b"/>
        <c:majorTickMark val="out"/>
        <c:minorTickMark val="none"/>
        <c:tickLblPos val="nextTo"/>
        <c:crossAx val="472382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Smoothing!$G$9</c:f>
          <c:strCache>
            <c:ptCount val="1"/>
            <c:pt idx="0">
              <c:v> Semi-variable, marge d'erreur 16%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Smoothing!$G$11</c:f>
              <c:strCache>
                <c:ptCount val="1"/>
                <c:pt idx="0">
                  <c:v> Coût Réel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Smoothing!$F$12:$F$35</c:f>
              <c:numCache>
                <c:formatCode>_(* #,##0_);_(* \(#,##0\);_(* "-"_);_(@_)</c:formatCode>
                <c:ptCount val="24"/>
                <c:pt idx="0">
                  <c:v>89.237468702124616</c:v>
                </c:pt>
                <c:pt idx="1">
                  <c:v>159.09519105606489</c:v>
                </c:pt>
                <c:pt idx="2">
                  <c:v>88.844495367404321</c:v>
                </c:pt>
                <c:pt idx="3">
                  <c:v>45.589670973117663</c:v>
                </c:pt>
                <c:pt idx="4">
                  <c:v>107.24233396192699</c:v>
                </c:pt>
                <c:pt idx="5">
                  <c:v>36.238453182607259</c:v>
                </c:pt>
                <c:pt idx="6">
                  <c:v>89.675750780006737</c:v>
                </c:pt>
                <c:pt idx="7">
                  <c:v>101.41280573733411</c:v>
                </c:pt>
                <c:pt idx="8">
                  <c:v>168.00283464472523</c:v>
                </c:pt>
                <c:pt idx="9">
                  <c:v>106.89717559478053</c:v>
                </c:pt>
                <c:pt idx="10">
                  <c:v>131.7136749280923</c:v>
                </c:pt>
                <c:pt idx="11">
                  <c:v>117.56487040476341</c:v>
                </c:pt>
                <c:pt idx="12">
                  <c:v>103.73358676771768</c:v>
                </c:pt>
                <c:pt idx="13">
                  <c:v>115.6668435856576</c:v>
                </c:pt>
                <c:pt idx="14">
                  <c:v>89.621521350984807</c:v>
                </c:pt>
                <c:pt idx="15">
                  <c:v>130.8095854376044</c:v>
                </c:pt>
                <c:pt idx="16">
                  <c:v>73.134336562026746</c:v>
                </c:pt>
                <c:pt idx="17">
                  <c:v>104.23226065005494</c:v>
                </c:pt>
                <c:pt idx="18">
                  <c:v>85.759535502892504</c:v>
                </c:pt>
                <c:pt idx="19">
                  <c:v>99.793488645763375</c:v>
                </c:pt>
                <c:pt idx="20">
                  <c:v>165.58104806698782</c:v>
                </c:pt>
                <c:pt idx="21">
                  <c:v>22.802595736501175</c:v>
                </c:pt>
                <c:pt idx="22">
                  <c:v>38.623471351980221</c:v>
                </c:pt>
                <c:pt idx="23">
                  <c:v>67.394742767276469</c:v>
                </c:pt>
              </c:numCache>
            </c:numRef>
          </c:xVal>
          <c:yVal>
            <c:numRef>
              <c:f>Smoothing!$G$12:$G$35</c:f>
              <c:numCache>
                <c:formatCode>_(* #,##0_);_(* \(#,##0\);_(* "-"_);_(@_)</c:formatCode>
                <c:ptCount val="24"/>
                <c:pt idx="0">
                  <c:v>18561.102418134495</c:v>
                </c:pt>
                <c:pt idx="1">
                  <c:v>17024.349944053905</c:v>
                </c:pt>
                <c:pt idx="2">
                  <c:v>15448.722999494315</c:v>
                </c:pt>
                <c:pt idx="3">
                  <c:v>16196.322628849093</c:v>
                </c:pt>
                <c:pt idx="4">
                  <c:v>15700.624283125211</c:v>
                </c:pt>
                <c:pt idx="5">
                  <c:v>10932.179501706047</c:v>
                </c:pt>
                <c:pt idx="6">
                  <c:v>17327.911906231449</c:v>
                </c:pt>
                <c:pt idx="7">
                  <c:v>18418.324993000795</c:v>
                </c:pt>
                <c:pt idx="8">
                  <c:v>32261.226670614473</c:v>
                </c:pt>
                <c:pt idx="9">
                  <c:v>20210.526693317559</c:v>
                </c:pt>
                <c:pt idx="10">
                  <c:v>18332.088869404735</c:v>
                </c:pt>
                <c:pt idx="11">
                  <c:v>17466.195475237975</c:v>
                </c:pt>
                <c:pt idx="12">
                  <c:v>22372.11923219679</c:v>
                </c:pt>
                <c:pt idx="13">
                  <c:v>17961.8203598379</c:v>
                </c:pt>
                <c:pt idx="14">
                  <c:v>11521.318519652585</c:v>
                </c:pt>
                <c:pt idx="15">
                  <c:v>24593.499847827952</c:v>
                </c:pt>
                <c:pt idx="16">
                  <c:v>8664.5625345932021</c:v>
                </c:pt>
                <c:pt idx="17">
                  <c:v>16650.064226648825</c:v>
                </c:pt>
                <c:pt idx="18">
                  <c:v>22249.701244943011</c:v>
                </c:pt>
                <c:pt idx="19">
                  <c:v>18601.183341447493</c:v>
                </c:pt>
                <c:pt idx="20">
                  <c:v>21782.172150139049</c:v>
                </c:pt>
                <c:pt idx="21">
                  <c:v>13323.325886307503</c:v>
                </c:pt>
                <c:pt idx="22">
                  <c:v>13443.157682418116</c:v>
                </c:pt>
                <c:pt idx="23">
                  <c:v>12380.709749227066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7-45BD-9C48-2E71212E5861}"/>
            </c:ext>
          </c:extLst>
        </c:ser>
        <c:ser>
          <c:idx val="1"/>
          <c:order val="1"/>
          <c:tx>
            <c:strRef>
              <c:f>Smoothing!$H$11</c:f>
              <c:strCache>
                <c:ptCount val="1"/>
                <c:pt idx="0">
                  <c:v> Coût Estimé 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Smoothing!$F$12:$F$35</c:f>
              <c:numCache>
                <c:formatCode>_(* #,##0_);_(* \(#,##0\);_(* "-"_);_(@_)</c:formatCode>
                <c:ptCount val="24"/>
                <c:pt idx="0">
                  <c:v>89.237468702124616</c:v>
                </c:pt>
                <c:pt idx="1">
                  <c:v>159.09519105606489</c:v>
                </c:pt>
                <c:pt idx="2">
                  <c:v>88.844495367404321</c:v>
                </c:pt>
                <c:pt idx="3">
                  <c:v>45.589670973117663</c:v>
                </c:pt>
                <c:pt idx="4">
                  <c:v>107.24233396192699</c:v>
                </c:pt>
                <c:pt idx="5">
                  <c:v>36.238453182607259</c:v>
                </c:pt>
                <c:pt idx="6">
                  <c:v>89.675750780006737</c:v>
                </c:pt>
                <c:pt idx="7">
                  <c:v>101.41280573733411</c:v>
                </c:pt>
                <c:pt idx="8">
                  <c:v>168.00283464472523</c:v>
                </c:pt>
                <c:pt idx="9">
                  <c:v>106.89717559478053</c:v>
                </c:pt>
                <c:pt idx="10">
                  <c:v>131.7136749280923</c:v>
                </c:pt>
                <c:pt idx="11">
                  <c:v>117.56487040476341</c:v>
                </c:pt>
                <c:pt idx="12">
                  <c:v>103.73358676771768</c:v>
                </c:pt>
                <c:pt idx="13">
                  <c:v>115.6668435856576</c:v>
                </c:pt>
                <c:pt idx="14">
                  <c:v>89.621521350984807</c:v>
                </c:pt>
                <c:pt idx="15">
                  <c:v>130.8095854376044</c:v>
                </c:pt>
                <c:pt idx="16">
                  <c:v>73.134336562026746</c:v>
                </c:pt>
                <c:pt idx="17">
                  <c:v>104.23226065005494</c:v>
                </c:pt>
                <c:pt idx="18">
                  <c:v>85.759535502892504</c:v>
                </c:pt>
                <c:pt idx="19">
                  <c:v>99.793488645763375</c:v>
                </c:pt>
                <c:pt idx="20">
                  <c:v>165.58104806698782</c:v>
                </c:pt>
                <c:pt idx="21">
                  <c:v>22.802595736501175</c:v>
                </c:pt>
                <c:pt idx="22">
                  <c:v>38.623471351980221</c:v>
                </c:pt>
                <c:pt idx="23">
                  <c:v>67.394742767276469</c:v>
                </c:pt>
              </c:numCache>
            </c:numRef>
          </c:xVal>
          <c:yVal>
            <c:numRef>
              <c:f>Smoothing!$H$12:$H$35</c:f>
              <c:numCache>
                <c:formatCode>_(* #,##0_);_(* \(#,##0\);_(* "-"_);_(@_)</c:formatCode>
                <c:ptCount val="24"/>
                <c:pt idx="0">
                  <c:v>16835.764877692385</c:v>
                </c:pt>
                <c:pt idx="1">
                  <c:v>22994.461317386907</c:v>
                </c:pt>
                <c:pt idx="2">
                  <c:v>16801.120125532063</c:v>
                </c:pt>
                <c:pt idx="3">
                  <c:v>12987.750264330463</c:v>
                </c:pt>
                <c:pt idx="4">
                  <c:v>18423.084014879656</c:v>
                </c:pt>
                <c:pt idx="5">
                  <c:v>12163.341598078319</c:v>
                </c:pt>
                <c:pt idx="6">
                  <c:v>16874.404074357837</c:v>
                </c:pt>
                <c:pt idx="7">
                  <c:v>17909.149498950312</c:v>
                </c:pt>
                <c:pt idx="8">
                  <c:v>23779.76423032186</c:v>
                </c:pt>
                <c:pt idx="9">
                  <c:v>18392.654657390653</c:v>
                </c:pt>
                <c:pt idx="10">
                  <c:v>20580.491319390385</c:v>
                </c:pt>
                <c:pt idx="11">
                  <c:v>19333.124684642888</c:v>
                </c:pt>
                <c:pt idx="12">
                  <c:v>18113.750871390101</c:v>
                </c:pt>
                <c:pt idx="13">
                  <c:v>19165.793563338266</c:v>
                </c:pt>
                <c:pt idx="14">
                  <c:v>16869.623177125719</c:v>
                </c:pt>
                <c:pt idx="15">
                  <c:v>20500.786276932486</c:v>
                </c:pt>
                <c:pt idx="16">
                  <c:v>15416.103611373452</c:v>
                </c:pt>
                <c:pt idx="17">
                  <c:v>18157.714243802369</c:v>
                </c:pt>
                <c:pt idx="18">
                  <c:v>16529.148313483747</c:v>
                </c:pt>
                <c:pt idx="19">
                  <c:v>17766.389585363882</c:v>
                </c:pt>
                <c:pt idx="20">
                  <c:v>23566.258151517242</c:v>
                </c:pt>
                <c:pt idx="21">
                  <c:v>10978.82878218189</c:v>
                </c:pt>
                <c:pt idx="22">
                  <c:v>12373.606153139288</c:v>
                </c:pt>
                <c:pt idx="23">
                  <c:v>14910.097765807439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7-45BD-9C48-2E71212E5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83232"/>
        <c:axId val="472381664"/>
      </c:scatterChart>
      <c:valAx>
        <c:axId val="472383232"/>
        <c:scaling>
          <c:orientation val="minMax"/>
        </c:scaling>
        <c:delete val="0"/>
        <c:axPos val="b"/>
        <c:title>
          <c:tx>
            <c:strRef>
              <c:f>Smoothing!$F$11</c:f>
              <c:strCache>
                <c:ptCount val="1"/>
                <c:pt idx="0">
                  <c:v> Qté Réel 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1664"/>
        <c:crosses val="autoZero"/>
        <c:crossBetween val="midCat"/>
      </c:valAx>
      <c:valAx>
        <c:axId val="472381664"/>
        <c:scaling>
          <c:orientation val="minMax"/>
        </c:scaling>
        <c:delete val="0"/>
        <c:axPos val="l"/>
        <c:title>
          <c:tx>
            <c:strRef>
              <c:f>Smoothing!$G$11</c:f>
              <c:strCache>
                <c:ptCount val="1"/>
                <c:pt idx="0">
                  <c:v> Coût Réel 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Smoothing!$P$8</c:f>
          <c:strCache>
            <c:ptCount val="1"/>
            <c:pt idx="0">
              <c:v> Semi-variable, marge d'erreur 9%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Smoothing!$Q$11</c:f>
              <c:strCache>
                <c:ptCount val="1"/>
                <c:pt idx="0">
                  <c:v> Coût Adouci 2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Smoothing!$O$12:$O$35</c:f>
              <c:numCache>
                <c:formatCode>_(* #,##0_);_(* \(#,##0\);_(* "-"_);_(@_)</c:formatCode>
                <c:ptCount val="24"/>
                <c:pt idx="0">
                  <c:v>92.828040187415851</c:v>
                </c:pt>
                <c:pt idx="1">
                  <c:v>129.81478448524859</c:v>
                </c:pt>
                <c:pt idx="2">
                  <c:v>109.08066837507575</c:v>
                </c:pt>
                <c:pt idx="3">
                  <c:v>72.071100079588518</c:v>
                </c:pt>
                <c:pt idx="4">
                  <c:v>89.54182111993596</c:v>
                </c:pt>
                <c:pt idx="5">
                  <c:v>60.650596720210274</c:v>
                </c:pt>
                <c:pt idx="6">
                  <c:v>75.171544353862927</c:v>
                </c:pt>
                <c:pt idx="7">
                  <c:v>90.839813109168773</c:v>
                </c:pt>
                <c:pt idx="8">
                  <c:v>135.22327952012589</c:v>
                </c:pt>
                <c:pt idx="9">
                  <c:v>122.06381271280392</c:v>
                </c:pt>
                <c:pt idx="10">
                  <c:v>126.66939353344603</c:v>
                </c:pt>
                <c:pt idx="11">
                  <c:v>121.83594807485218</c:v>
                </c:pt>
                <c:pt idx="12">
                  <c:v>111.35127949842692</c:v>
                </c:pt>
                <c:pt idx="13">
                  <c:v>113.12349251146759</c:v>
                </c:pt>
                <c:pt idx="14">
                  <c:v>100.01439704701107</c:v>
                </c:pt>
                <c:pt idx="15">
                  <c:v>116.51737205019128</c:v>
                </c:pt>
                <c:pt idx="16">
                  <c:v>93.145850525797499</c:v>
                </c:pt>
                <c:pt idx="17">
                  <c:v>97.921236125417693</c:v>
                </c:pt>
                <c:pt idx="18">
                  <c:v>91.378741125223527</c:v>
                </c:pt>
                <c:pt idx="19">
                  <c:v>95.703130668015064</c:v>
                </c:pt>
                <c:pt idx="20">
                  <c:v>135.27973355136172</c:v>
                </c:pt>
                <c:pt idx="21">
                  <c:v>74.484881210711819</c:v>
                </c:pt>
                <c:pt idx="22">
                  <c:v>50.513159893884676</c:v>
                </c:pt>
                <c:pt idx="23">
                  <c:v>58.510817677865873</c:v>
                </c:pt>
              </c:numCache>
            </c:numRef>
          </c:xVal>
          <c:yVal>
            <c:numRef>
              <c:f>Smoothing!$Q$12:$Q$35</c:f>
              <c:numCache>
                <c:formatCode>_(* #,##0_);_(* \(#,##0\);_(* "-"_);_(@_)</c:formatCode>
                <c:ptCount val="24"/>
                <c:pt idx="0">
                  <c:v>18122.814063609163</c:v>
                </c:pt>
                <c:pt idx="1">
                  <c:v>17540.147596276547</c:v>
                </c:pt>
                <c:pt idx="2">
                  <c:v>16327.304606378251</c:v>
                </c:pt>
                <c:pt idx="3">
                  <c:v>16177.824557149459</c:v>
                </c:pt>
                <c:pt idx="4">
                  <c:v>15900.056899934021</c:v>
                </c:pt>
                <c:pt idx="5">
                  <c:v>13088.265384854818</c:v>
                </c:pt>
                <c:pt idx="6">
                  <c:v>15297.329583436724</c:v>
                </c:pt>
                <c:pt idx="7">
                  <c:v>17190.956013727882</c:v>
                </c:pt>
                <c:pt idx="8">
                  <c:v>25786.334910119789</c:v>
                </c:pt>
                <c:pt idx="9">
                  <c:v>23187.15396919303</c:v>
                </c:pt>
                <c:pt idx="10">
                  <c:v>20293.731041754188</c:v>
                </c:pt>
                <c:pt idx="11">
                  <c:v>18522.403352623893</c:v>
                </c:pt>
                <c:pt idx="12">
                  <c:v>20577.160554312999</c:v>
                </c:pt>
                <c:pt idx="13">
                  <c:v>19234.454020026322</c:v>
                </c:pt>
                <c:pt idx="14">
                  <c:v>14811.896142673177</c:v>
                </c:pt>
                <c:pt idx="15">
                  <c:v>20037.63835948817</c:v>
                </c:pt>
                <c:pt idx="16">
                  <c:v>13966.892096535687</c:v>
                </c:pt>
                <c:pt idx="17">
                  <c:v>15096.754778289796</c:v>
                </c:pt>
                <c:pt idx="18">
                  <c:v>19190.903583391861</c:v>
                </c:pt>
                <c:pt idx="19">
                  <c:v>19115.070247617034</c:v>
                </c:pt>
                <c:pt idx="20">
                  <c:v>20610.575484299741</c:v>
                </c:pt>
                <c:pt idx="21">
                  <c:v>16604.966662721778</c:v>
                </c:pt>
                <c:pt idx="22">
                  <c:v>14576.098559952345</c:v>
                </c:pt>
                <c:pt idx="23">
                  <c:v>13214.388097496285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E-489C-8BF8-5B12CB7B28C6}"/>
            </c:ext>
          </c:extLst>
        </c:ser>
        <c:ser>
          <c:idx val="0"/>
          <c:order val="1"/>
          <c:tx>
            <c:strRef>
              <c:f>Smoothing!$R$11</c:f>
              <c:strCache>
                <c:ptCount val="1"/>
                <c:pt idx="0">
                  <c:v> Coût Estimé 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Smoothing!$O$12:$O$35</c:f>
              <c:numCache>
                <c:formatCode>_(* #,##0_);_(* \(#,##0\);_(* "-"_);_(@_)</c:formatCode>
                <c:ptCount val="24"/>
                <c:pt idx="0">
                  <c:v>92.828040187415851</c:v>
                </c:pt>
                <c:pt idx="1">
                  <c:v>129.81478448524859</c:v>
                </c:pt>
                <c:pt idx="2">
                  <c:v>109.08066837507575</c:v>
                </c:pt>
                <c:pt idx="3">
                  <c:v>72.071100079588518</c:v>
                </c:pt>
                <c:pt idx="4">
                  <c:v>89.54182111993596</c:v>
                </c:pt>
                <c:pt idx="5">
                  <c:v>60.650596720210274</c:v>
                </c:pt>
                <c:pt idx="6">
                  <c:v>75.171544353862927</c:v>
                </c:pt>
                <c:pt idx="7">
                  <c:v>90.839813109168773</c:v>
                </c:pt>
                <c:pt idx="8">
                  <c:v>135.22327952012589</c:v>
                </c:pt>
                <c:pt idx="9">
                  <c:v>122.06381271280392</c:v>
                </c:pt>
                <c:pt idx="10">
                  <c:v>126.66939353344603</c:v>
                </c:pt>
                <c:pt idx="11">
                  <c:v>121.83594807485218</c:v>
                </c:pt>
                <c:pt idx="12">
                  <c:v>111.35127949842692</c:v>
                </c:pt>
                <c:pt idx="13">
                  <c:v>113.12349251146759</c:v>
                </c:pt>
                <c:pt idx="14">
                  <c:v>100.01439704701107</c:v>
                </c:pt>
                <c:pt idx="15">
                  <c:v>116.51737205019128</c:v>
                </c:pt>
                <c:pt idx="16">
                  <c:v>93.145850525797499</c:v>
                </c:pt>
                <c:pt idx="17">
                  <c:v>97.921236125417693</c:v>
                </c:pt>
                <c:pt idx="18">
                  <c:v>91.378741125223527</c:v>
                </c:pt>
                <c:pt idx="19">
                  <c:v>95.703130668015064</c:v>
                </c:pt>
                <c:pt idx="20">
                  <c:v>135.27973355136172</c:v>
                </c:pt>
                <c:pt idx="21">
                  <c:v>74.484881210711819</c:v>
                </c:pt>
                <c:pt idx="22">
                  <c:v>50.513159893884676</c:v>
                </c:pt>
                <c:pt idx="23">
                  <c:v>58.510817677865873</c:v>
                </c:pt>
              </c:numCache>
            </c:numRef>
          </c:xVal>
          <c:yVal>
            <c:numRef>
              <c:f>Smoothing!$R$12:$R$35</c:f>
              <c:numCache>
                <c:formatCode>_(* #,##0_);_(* \(#,##0\);_(* "-"_);_(@_)</c:formatCode>
                <c:ptCount val="24"/>
                <c:pt idx="0">
                  <c:v>17131.041321776487</c:v>
                </c:pt>
                <c:pt idx="1">
                  <c:v>20758.916483280947</c:v>
                </c:pt>
                <c:pt idx="2">
                  <c:v>18725.193692593119</c:v>
                </c:pt>
                <c:pt idx="3">
                  <c:v>15095.079820551982</c:v>
                </c:pt>
                <c:pt idx="4">
                  <c:v>16808.709828250812</c:v>
                </c:pt>
                <c:pt idx="5">
                  <c:v>13974.890378201027</c:v>
                </c:pt>
                <c:pt idx="6">
                  <c:v>15399.189441060753</c:v>
                </c:pt>
                <c:pt idx="7">
                  <c:v>16936.024437497061</c:v>
                </c:pt>
                <c:pt idx="8">
                  <c:v>21289.413156363396</c:v>
                </c:pt>
                <c:pt idx="9">
                  <c:v>19998.656057428274</c:v>
                </c:pt>
                <c:pt idx="10">
                  <c:v>20450.398231028776</c:v>
                </c:pt>
                <c:pt idx="11">
                  <c:v>19976.305767455367</c:v>
                </c:pt>
                <c:pt idx="12">
                  <c:v>18947.908447628321</c:v>
                </c:pt>
                <c:pt idx="13">
                  <c:v>19121.737415085776</c:v>
                </c:pt>
                <c:pt idx="14">
                  <c:v>17835.92103064452</c:v>
                </c:pt>
                <c:pt idx="15">
                  <c:v>19454.62887426715</c:v>
                </c:pt>
                <c:pt idx="16">
                  <c:v>17162.214009575117</c:v>
                </c:pt>
                <c:pt idx="17">
                  <c:v>17630.611624243877</c:v>
                </c:pt>
                <c:pt idx="18">
                  <c:v>16988.885634133891</c:v>
                </c:pt>
                <c:pt idx="19">
                  <c:v>17413.046930533324</c:v>
                </c:pt>
                <c:pt idx="20">
                  <c:v>21294.950496336824</c:v>
                </c:pt>
                <c:pt idx="21">
                  <c:v>15331.837523268288</c:v>
                </c:pt>
                <c:pt idx="22">
                  <c:v>12980.551569480785</c:v>
                </c:pt>
                <c:pt idx="23">
                  <c:v>13765.008395177074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1E-489C-8BF8-5B12CB7B2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11080"/>
        <c:axId val="188013824"/>
      </c:scatterChart>
      <c:valAx>
        <c:axId val="188011080"/>
        <c:scaling>
          <c:orientation val="minMax"/>
          <c:max val="180"/>
        </c:scaling>
        <c:delete val="0"/>
        <c:axPos val="b"/>
        <c:title>
          <c:tx>
            <c:strRef>
              <c:f>Smoothing!$O$11</c:f>
              <c:strCache>
                <c:ptCount val="1"/>
                <c:pt idx="0">
                  <c:v> Qté Adouci 2 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824"/>
        <c:crosses val="autoZero"/>
        <c:crossBetween val="midCat"/>
      </c:valAx>
      <c:valAx>
        <c:axId val="188013824"/>
        <c:scaling>
          <c:orientation val="minMax"/>
          <c:max val="35000"/>
        </c:scaling>
        <c:delete val="0"/>
        <c:axPos val="l"/>
        <c:title>
          <c:tx>
            <c:strRef>
              <c:f>Smoothing!$Q$11</c:f>
              <c:strCache>
                <c:ptCount val="1"/>
                <c:pt idx="0">
                  <c:v> Coût Adouci 2 </c:v>
                </c:pt>
              </c:strCache>
            </c:strRef>
          </c:tx>
          <c:layout>
            <c:manualLayout>
              <c:xMode val="edge"/>
              <c:yMode val="edge"/>
              <c:x val="2.5357307514983864E-2"/>
              <c:y val="0.37942840478273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1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ErrorMargin!$N$8</c:f>
          <c:strCache>
            <c:ptCount val="1"/>
            <c:pt idx="0">
              <c:v> % d'erreur de l'estimé vs Réel
Marge d'erreur = 13% </c:v>
            </c:pt>
          </c:strCache>
        </c:strRef>
      </c:tx>
      <c:overlay val="0"/>
      <c:txPr>
        <a:bodyPr/>
        <a:lstStyle/>
        <a:p>
          <a:pPr>
            <a:defRPr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22543718179803E-2"/>
          <c:y val="0.12393269334483875"/>
          <c:w val="0.87043927332988491"/>
          <c:h val="0.85071908819616726"/>
        </c:manualLayout>
      </c:layout>
      <c:lineChart>
        <c:grouping val="standard"/>
        <c:varyColors val="0"/>
        <c:ser>
          <c:idx val="0"/>
          <c:order val="0"/>
          <c:tx>
            <c:strRef>
              <c:f>ErrorMargin!$K$11</c:f>
              <c:strCache>
                <c:ptCount val="1"/>
                <c:pt idx="0">
                  <c:v> Erreur % </c:v>
                </c:pt>
              </c:strCache>
            </c:strRef>
          </c:tx>
          <c:spPr>
            <a:ln w="25400">
              <a:prstDash val="sysDash"/>
            </a:ln>
          </c:spPr>
          <c:marker>
            <c:symbol val="none"/>
          </c:marker>
          <c:val>
            <c:numRef>
              <c:f>ErrorMargin!$K$13:$K$36</c:f>
              <c:numCache>
                <c:formatCode>0%</c:formatCode>
                <c:ptCount val="24"/>
                <c:pt idx="0">
                  <c:v>-1.2280714982652074E-2</c:v>
                </c:pt>
                <c:pt idx="1">
                  <c:v>-0.17750813162680554</c:v>
                </c:pt>
                <c:pt idx="2">
                  <c:v>0.46170090573999378</c:v>
                </c:pt>
                <c:pt idx="3">
                  <c:v>-0.24820997123681213</c:v>
                </c:pt>
                <c:pt idx="4">
                  <c:v>-0.28245743627693393</c:v>
                </c:pt>
                <c:pt idx="5">
                  <c:v>0.28253954826354444</c:v>
                </c:pt>
                <c:pt idx="6">
                  <c:v>1.5253652431710762E-2</c:v>
                </c:pt>
                <c:pt idx="7">
                  <c:v>0.12892399060995308</c:v>
                </c:pt>
                <c:pt idx="8">
                  <c:v>4.8205958022266023E-2</c:v>
                </c:pt>
                <c:pt idx="9">
                  <c:v>-0.17279455438844246</c:v>
                </c:pt>
                <c:pt idx="10">
                  <c:v>-8.7190654557803796E-2</c:v>
                </c:pt>
                <c:pt idx="11">
                  <c:v>9.1397808345380534E-3</c:v>
                </c:pt>
                <c:pt idx="12">
                  <c:v>-6.0695011403623308E-2</c:v>
                </c:pt>
                <c:pt idx="13">
                  <c:v>0.13879473430808972</c:v>
                </c:pt>
                <c:pt idx="14">
                  <c:v>6.8472474080629855E-2</c:v>
                </c:pt>
                <c:pt idx="15">
                  <c:v>-0.10375584086144263</c:v>
                </c:pt>
                <c:pt idx="16">
                  <c:v>5.9976672312763935E-2</c:v>
                </c:pt>
                <c:pt idx="17">
                  <c:v>-5.1761566653798476E-2</c:v>
                </c:pt>
                <c:pt idx="18">
                  <c:v>-0.32969613744599946</c:v>
                </c:pt>
                <c:pt idx="19">
                  <c:v>-0.14873652485679564</c:v>
                </c:pt>
                <c:pt idx="20">
                  <c:v>7.1885186484514771E-4</c:v>
                </c:pt>
                <c:pt idx="21">
                  <c:v>0.28707409859855271</c:v>
                </c:pt>
                <c:pt idx="22">
                  <c:v>0.16694219753429088</c:v>
                </c:pt>
                <c:pt idx="23">
                  <c:v>9.6279522879303501E-3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2B-4D98-B615-D46631499DFE}"/>
            </c:ext>
          </c:extLst>
        </c:ser>
        <c:ser>
          <c:idx val="1"/>
          <c:order val="1"/>
          <c:tx>
            <c:strRef>
              <c:f>ErrorMargin!$N$11</c:f>
              <c:strCache>
                <c:ptCount val="1"/>
                <c:pt idx="0">
                  <c:v> 1 Erreur = 13% 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ErrorMargin!$N$13:$N$36</c:f>
              <c:numCache>
                <c:formatCode>0%</c:formatCode>
                <c:ptCount val="24"/>
                <c:pt idx="0">
                  <c:v>0.13489999999999999</c:v>
                </c:pt>
                <c:pt idx="1">
                  <c:v>0.13489999999999999</c:v>
                </c:pt>
                <c:pt idx="2">
                  <c:v>0.13489999999999999</c:v>
                </c:pt>
                <c:pt idx="3">
                  <c:v>0.13489999999999999</c:v>
                </c:pt>
                <c:pt idx="4">
                  <c:v>0.13489999999999999</c:v>
                </c:pt>
                <c:pt idx="5">
                  <c:v>0.13489999999999999</c:v>
                </c:pt>
                <c:pt idx="6">
                  <c:v>0.13489999999999999</c:v>
                </c:pt>
                <c:pt idx="7">
                  <c:v>0.13489999999999999</c:v>
                </c:pt>
                <c:pt idx="8">
                  <c:v>0.13489999999999999</c:v>
                </c:pt>
                <c:pt idx="9">
                  <c:v>0.13489999999999999</c:v>
                </c:pt>
                <c:pt idx="10">
                  <c:v>0.13489999999999999</c:v>
                </c:pt>
                <c:pt idx="11">
                  <c:v>0.13489999999999999</c:v>
                </c:pt>
                <c:pt idx="12">
                  <c:v>0.13489999999999999</c:v>
                </c:pt>
                <c:pt idx="13">
                  <c:v>0.13489999999999999</c:v>
                </c:pt>
                <c:pt idx="14">
                  <c:v>0.13489999999999999</c:v>
                </c:pt>
                <c:pt idx="15">
                  <c:v>0.13489999999999999</c:v>
                </c:pt>
                <c:pt idx="16">
                  <c:v>0.13489999999999999</c:v>
                </c:pt>
                <c:pt idx="17">
                  <c:v>0.13489999999999999</c:v>
                </c:pt>
                <c:pt idx="18">
                  <c:v>0.13489999999999999</c:v>
                </c:pt>
                <c:pt idx="19">
                  <c:v>0.13489999999999999</c:v>
                </c:pt>
                <c:pt idx="20">
                  <c:v>0.13489999999999999</c:v>
                </c:pt>
                <c:pt idx="21">
                  <c:v>0.13489999999999999</c:v>
                </c:pt>
                <c:pt idx="22">
                  <c:v>0.13489999999999999</c:v>
                </c:pt>
                <c:pt idx="23">
                  <c:v>0.13489999999999999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B-4D98-B615-D46631499DFE}"/>
            </c:ext>
          </c:extLst>
        </c:ser>
        <c:ser>
          <c:idx val="2"/>
          <c:order val="2"/>
          <c:tx>
            <c:strRef>
              <c:f>ErrorMargin!$O$11</c:f>
              <c:strCache>
                <c:ptCount val="1"/>
                <c:pt idx="0">
                  <c:v> -1 Erreur = -13% 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ErrorMargin!$O$13:$O$36</c:f>
              <c:numCache>
                <c:formatCode>0%</c:formatCode>
                <c:ptCount val="24"/>
                <c:pt idx="0">
                  <c:v>-0.13489999999999999</c:v>
                </c:pt>
                <c:pt idx="1">
                  <c:v>-0.13489999999999999</c:v>
                </c:pt>
                <c:pt idx="2">
                  <c:v>-0.13489999999999999</c:v>
                </c:pt>
                <c:pt idx="3">
                  <c:v>-0.13489999999999999</c:v>
                </c:pt>
                <c:pt idx="4">
                  <c:v>-0.13489999999999999</c:v>
                </c:pt>
                <c:pt idx="5">
                  <c:v>-0.13489999999999999</c:v>
                </c:pt>
                <c:pt idx="6">
                  <c:v>-0.13489999999999999</c:v>
                </c:pt>
                <c:pt idx="7">
                  <c:v>-0.13489999999999999</c:v>
                </c:pt>
                <c:pt idx="8">
                  <c:v>-0.13489999999999999</c:v>
                </c:pt>
                <c:pt idx="9">
                  <c:v>-0.13489999999999999</c:v>
                </c:pt>
                <c:pt idx="10">
                  <c:v>-0.13489999999999999</c:v>
                </c:pt>
                <c:pt idx="11">
                  <c:v>-0.13489999999999999</c:v>
                </c:pt>
                <c:pt idx="12">
                  <c:v>-0.13489999999999999</c:v>
                </c:pt>
                <c:pt idx="13">
                  <c:v>-0.13489999999999999</c:v>
                </c:pt>
                <c:pt idx="14">
                  <c:v>-0.13489999999999999</c:v>
                </c:pt>
                <c:pt idx="15">
                  <c:v>-0.13489999999999999</c:v>
                </c:pt>
                <c:pt idx="16">
                  <c:v>-0.13489999999999999</c:v>
                </c:pt>
                <c:pt idx="17">
                  <c:v>-0.13489999999999999</c:v>
                </c:pt>
                <c:pt idx="18">
                  <c:v>-0.13489999999999999</c:v>
                </c:pt>
                <c:pt idx="19">
                  <c:v>-0.13489999999999999</c:v>
                </c:pt>
                <c:pt idx="20">
                  <c:v>-0.13489999999999999</c:v>
                </c:pt>
                <c:pt idx="21">
                  <c:v>-0.13489999999999999</c:v>
                </c:pt>
                <c:pt idx="22">
                  <c:v>-0.13489999999999999</c:v>
                </c:pt>
                <c:pt idx="23">
                  <c:v>-0.13489999999999999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2B-4D98-B615-D46631499DFE}"/>
            </c:ext>
          </c:extLst>
        </c:ser>
        <c:ser>
          <c:idx val="3"/>
          <c:order val="3"/>
          <c:tx>
            <c:strRef>
              <c:f>ErrorMargin!$P$11</c:f>
              <c:strCache>
                <c:ptCount val="1"/>
                <c:pt idx="0">
                  <c:v> 2 Erreurs = 27% 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ErrorMargin!$P$13:$P$36</c:f>
              <c:numCache>
                <c:formatCode>0%</c:formatCode>
                <c:ptCount val="24"/>
                <c:pt idx="0">
                  <c:v>0.26979999999999998</c:v>
                </c:pt>
                <c:pt idx="1">
                  <c:v>0.26979999999999998</c:v>
                </c:pt>
                <c:pt idx="2">
                  <c:v>0.26979999999999998</c:v>
                </c:pt>
                <c:pt idx="3">
                  <c:v>0.26979999999999998</c:v>
                </c:pt>
                <c:pt idx="4">
                  <c:v>0.26979999999999998</c:v>
                </c:pt>
                <c:pt idx="5">
                  <c:v>0.26979999999999998</c:v>
                </c:pt>
                <c:pt idx="6">
                  <c:v>0.26979999999999998</c:v>
                </c:pt>
                <c:pt idx="7">
                  <c:v>0.26979999999999998</c:v>
                </c:pt>
                <c:pt idx="8">
                  <c:v>0.26979999999999998</c:v>
                </c:pt>
                <c:pt idx="9">
                  <c:v>0.26979999999999998</c:v>
                </c:pt>
                <c:pt idx="10">
                  <c:v>0.26979999999999998</c:v>
                </c:pt>
                <c:pt idx="11">
                  <c:v>0.26979999999999998</c:v>
                </c:pt>
                <c:pt idx="12">
                  <c:v>0.26979999999999998</c:v>
                </c:pt>
                <c:pt idx="13">
                  <c:v>0.26979999999999998</c:v>
                </c:pt>
                <c:pt idx="14">
                  <c:v>0.26979999999999998</c:v>
                </c:pt>
                <c:pt idx="15">
                  <c:v>0.26979999999999998</c:v>
                </c:pt>
                <c:pt idx="16">
                  <c:v>0.26979999999999998</c:v>
                </c:pt>
                <c:pt idx="17">
                  <c:v>0.26979999999999998</c:v>
                </c:pt>
                <c:pt idx="18">
                  <c:v>0.26979999999999998</c:v>
                </c:pt>
                <c:pt idx="19">
                  <c:v>0.26979999999999998</c:v>
                </c:pt>
                <c:pt idx="20">
                  <c:v>0.26979999999999998</c:v>
                </c:pt>
                <c:pt idx="21">
                  <c:v>0.26979999999999998</c:v>
                </c:pt>
                <c:pt idx="22">
                  <c:v>0.26979999999999998</c:v>
                </c:pt>
                <c:pt idx="23">
                  <c:v>0.26979999999999998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2B-4D98-B615-D46631499DFE}"/>
            </c:ext>
          </c:extLst>
        </c:ser>
        <c:ser>
          <c:idx val="4"/>
          <c:order val="4"/>
          <c:tx>
            <c:strRef>
              <c:f>ErrorMargin!$Q$11</c:f>
              <c:strCache>
                <c:ptCount val="1"/>
                <c:pt idx="0">
                  <c:v> 2 Erreurs = -27% 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ErrorMargin!$Q$13:$Q$36</c:f>
              <c:numCache>
                <c:formatCode>0%</c:formatCode>
                <c:ptCount val="24"/>
                <c:pt idx="0">
                  <c:v>-0.26979999999999998</c:v>
                </c:pt>
                <c:pt idx="1">
                  <c:v>-0.26979999999999998</c:v>
                </c:pt>
                <c:pt idx="2">
                  <c:v>-0.26979999999999998</c:v>
                </c:pt>
                <c:pt idx="3">
                  <c:v>-0.26979999999999998</c:v>
                </c:pt>
                <c:pt idx="4">
                  <c:v>-0.26979999999999998</c:v>
                </c:pt>
                <c:pt idx="5">
                  <c:v>-0.26979999999999998</c:v>
                </c:pt>
                <c:pt idx="6">
                  <c:v>-0.26979999999999998</c:v>
                </c:pt>
                <c:pt idx="7">
                  <c:v>-0.26979999999999998</c:v>
                </c:pt>
                <c:pt idx="8">
                  <c:v>-0.26979999999999998</c:v>
                </c:pt>
                <c:pt idx="9">
                  <c:v>-0.26979999999999998</c:v>
                </c:pt>
                <c:pt idx="10">
                  <c:v>-0.26979999999999998</c:v>
                </c:pt>
                <c:pt idx="11">
                  <c:v>-0.26979999999999998</c:v>
                </c:pt>
                <c:pt idx="12">
                  <c:v>-0.26979999999999998</c:v>
                </c:pt>
                <c:pt idx="13">
                  <c:v>-0.26979999999999998</c:v>
                </c:pt>
                <c:pt idx="14">
                  <c:v>-0.26979999999999998</c:v>
                </c:pt>
                <c:pt idx="15">
                  <c:v>-0.26979999999999998</c:v>
                </c:pt>
                <c:pt idx="16">
                  <c:v>-0.26979999999999998</c:v>
                </c:pt>
                <c:pt idx="17">
                  <c:v>-0.26979999999999998</c:v>
                </c:pt>
                <c:pt idx="18">
                  <c:v>-0.26979999999999998</c:v>
                </c:pt>
                <c:pt idx="19">
                  <c:v>-0.26979999999999998</c:v>
                </c:pt>
                <c:pt idx="20">
                  <c:v>-0.26979999999999998</c:v>
                </c:pt>
                <c:pt idx="21">
                  <c:v>-0.26979999999999998</c:v>
                </c:pt>
                <c:pt idx="22">
                  <c:v>-0.26979999999999998</c:v>
                </c:pt>
                <c:pt idx="23">
                  <c:v>-0.26979999999999998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2B-4D98-B615-D46631499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379704"/>
        <c:axId val="472380096"/>
      </c:lineChart>
      <c:catAx>
        <c:axId val="472379704"/>
        <c:scaling>
          <c:orientation val="minMax"/>
        </c:scaling>
        <c:delete val="1"/>
        <c:axPos val="b"/>
        <c:majorTickMark val="out"/>
        <c:minorTickMark val="none"/>
        <c:tickLblPos val="nextTo"/>
        <c:crossAx val="472380096"/>
        <c:crosses val="autoZero"/>
        <c:auto val="1"/>
        <c:lblAlgn val="ctr"/>
        <c:lblOffset val="100"/>
        <c:noMultiLvlLbl val="0"/>
      </c:catAx>
      <c:valAx>
        <c:axId val="472380096"/>
        <c:scaling>
          <c:orientation val="minMax"/>
          <c:max val="1"/>
          <c:min val="-1"/>
        </c:scaling>
        <c:delete val="0"/>
        <c:axPos val="l"/>
        <c:numFmt formatCode="0%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379704"/>
        <c:crosses val="autoZero"/>
        <c:crossBetween val="between"/>
        <c:majorUnit val="0.5"/>
        <c:minorUnit val="2.0000000000000004E-2"/>
      </c:valAx>
    </c:plotArea>
    <c:legend>
      <c:legendPos val="b"/>
      <c:legendEntry>
        <c:idx val="2"/>
        <c:delete val="1"/>
      </c:legendEntry>
      <c:legendEntry>
        <c:idx val="4"/>
        <c:delete val="1"/>
      </c:legendEntry>
      <c:overlay val="0"/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'Clusters Median'!$B$15</c:f>
          <c:strCache>
            <c:ptCount val="1"/>
            <c:pt idx="0">
              <c:v>Group Median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'Clusters Median'!$B$16</c:f>
              <c:strCache>
                <c:ptCount val="1"/>
                <c:pt idx="0">
                  <c:v>Basse clôture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strRef>
                  <c:f>'Clusters Median'!$C$13</c:f>
                  <c:strCache>
                    <c:ptCount val="1"/>
                    <c:pt idx="0">
                      <c:v>7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{4FEA2DB5-AB7D-418B-99E5-17C233E77087}</c15:txfldGUID>
                      <c15:f>'Clusters Median'!$C$13</c15:f>
                      <c15:dlblFieldTableCache>
                        <c:ptCount val="1"/>
                        <c:pt idx="0">
                          <c:v>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A566-4DB1-879A-C76C2ADE6E6D}"/>
                </c:ext>
              </c:extLst>
            </c:dLbl>
            <c:dLbl>
              <c:idx val="1"/>
              <c:tx>
                <c:strRef>
                  <c:f>'Clusters Median'!$D$13</c:f>
                  <c:strCache>
                    <c:ptCount val="1"/>
                    <c:pt idx="0">
                      <c:v>7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{DAD4B227-5A6E-4723-B6BA-F3E5DC020FA4}</c15:txfldGUID>
                      <c15:f>'Clusters Median'!$D$13</c15:f>
                      <c15:dlblFieldTableCache>
                        <c:ptCount val="1"/>
                        <c:pt idx="0">
                          <c:v>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566-4DB1-879A-C76C2ADE6E6D}"/>
                </c:ext>
              </c:extLst>
            </c:dLbl>
            <c:dLbl>
              <c:idx val="2"/>
              <c:tx>
                <c:strRef>
                  <c:f>'Clusters Median'!$E$13</c:f>
                  <c:strCache>
                    <c:ptCount val="1"/>
                    <c:pt idx="0">
                      <c:v>7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{D6D7B1EF-A384-48D8-BA15-F0B8B5BFA10D}</c15:txfldGUID>
                      <c15:f>'Clusters Median'!$E$13</c15:f>
                      <c15:dlblFieldTableCache>
                        <c:ptCount val="1"/>
                        <c:pt idx="0">
                          <c:v>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A566-4DB1-879A-C76C2ADE6E6D}"/>
                </c:ext>
              </c:extLst>
            </c:dLbl>
            <c:dLbl>
              <c:idx val="3"/>
              <c:tx>
                <c:strRef>
                  <c:f>'Clusters Median'!$F$13</c:f>
                  <c:strCache>
                    <c:ptCount val="1"/>
                    <c:pt idx="0">
                      <c:v>5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{C7D96650-9427-477F-B22C-231F38B29EAA}</c15:txfldGUID>
                      <c15:f>'Clusters Median'!$F$13</c15:f>
                      <c15:dlblFieldTableCache>
                        <c:ptCount val="1"/>
                        <c:pt idx="0">
                          <c:v>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566-4DB1-879A-C76C2ADE6E6D}"/>
                </c:ext>
              </c:extLst>
            </c:dLbl>
            <c:dLbl>
              <c:idx val="4"/>
              <c:tx>
                <c:strRef>
                  <c:f>'Clusters Median'!$G$13</c:f>
                  <c:strCache>
                    <c:ptCount val="1"/>
                    <c:pt idx="0">
                      <c:v>26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{0644DC53-EF5D-428C-9813-2F1C4C3CFDD4}</c15:txfldGUID>
                      <c15:f>'Clusters Median'!$G$13</c15:f>
                      <c15:dlblFieldTableCache>
                        <c:ptCount val="1"/>
                        <c:pt idx="0">
                          <c:v>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566-4DB1-879A-C76C2ADE6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CA"/>
                      <a:t>329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566-4DB1-879A-C76C2ADE6E6D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'Clusters Median'!$C$15:$G$15</c:f>
              <c:strCache>
                <c:ptCount val="5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  <c:pt idx="4">
                  <c:v>Ω</c:v>
                </c:pt>
              </c:strCache>
            </c:strRef>
          </c:cat>
          <c:val>
            <c:numRef>
              <c:f>'Clusters Median'!$C$16:$G$16</c:f>
              <c:numCache>
                <c:formatCode>#,##0.00</c:formatCode>
                <c:ptCount val="5"/>
                <c:pt idx="0">
                  <c:v>93.322621922254058</c:v>
                </c:pt>
                <c:pt idx="1">
                  <c:v>62.97569885843906</c:v>
                </c:pt>
                <c:pt idx="2">
                  <c:v>44.885942748861943</c:v>
                </c:pt>
                <c:pt idx="3">
                  <c:v>53.902954818446403</c:v>
                </c:pt>
                <c:pt idx="4">
                  <c:v>36.747302300556655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66-4DB1-879A-C76C2ADE6E6D}"/>
            </c:ext>
          </c:extLst>
        </c:ser>
        <c:ser>
          <c:idx val="1"/>
          <c:order val="1"/>
          <c:tx>
            <c:strRef>
              <c:f>'Clusters Median'!$B$17</c:f>
              <c:strCache>
                <c:ptCount val="1"/>
                <c:pt idx="0">
                  <c:v>Quartile 1 ∆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minus"/>
            <c:errValType val="percentage"/>
            <c:noEndCap val="0"/>
            <c:val val="100"/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'Clusters Median'!$C$15:$G$15</c:f>
              <c:strCache>
                <c:ptCount val="5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  <c:pt idx="4">
                  <c:v>Ω</c:v>
                </c:pt>
              </c:strCache>
            </c:strRef>
          </c:cat>
          <c:val>
            <c:numRef>
              <c:f>'Clusters Median'!$C$17:$G$17</c:f>
              <c:numCache>
                <c:formatCode>#,##0.00</c:formatCode>
                <c:ptCount val="5"/>
                <c:pt idx="0">
                  <c:v>2.8337407094072233</c:v>
                </c:pt>
                <c:pt idx="1">
                  <c:v>24.123118078086137</c:v>
                </c:pt>
                <c:pt idx="2">
                  <c:v>2.7652372178126967</c:v>
                </c:pt>
                <c:pt idx="3">
                  <c:v>1.6295320364298078</c:v>
                </c:pt>
                <c:pt idx="4">
                  <c:v>16.272886557507917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66-4DB1-879A-C76C2ADE6E6D}"/>
            </c:ext>
          </c:extLst>
        </c:ser>
        <c:ser>
          <c:idx val="2"/>
          <c:order val="2"/>
          <c:tx>
            <c:strRef>
              <c:f>'Clusters Median'!$B$18</c:f>
              <c:strCache>
                <c:ptCount val="1"/>
                <c:pt idx="0">
                  <c:v>Median ∆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566-4DB1-879A-C76C2ADE6E6D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566-4DB1-879A-C76C2ADE6E6D}"/>
              </c:ext>
            </c:extLst>
          </c:dPt>
          <c:dLbls>
            <c:delete val="1"/>
          </c:dLbls>
          <c:cat>
            <c:strRef>
              <c:f>'Clusters Median'!$C$15:$G$15</c:f>
              <c:strCache>
                <c:ptCount val="5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  <c:pt idx="4">
                  <c:v>Ω</c:v>
                </c:pt>
              </c:strCache>
            </c:strRef>
          </c:cat>
          <c:val>
            <c:numRef>
              <c:f>'Clusters Median'!$C$18:$G$18</c:f>
              <c:numCache>
                <c:formatCode>#,##0.00</c:formatCode>
                <c:ptCount val="5"/>
                <c:pt idx="0">
                  <c:v>3.6072035880666107</c:v>
                </c:pt>
                <c:pt idx="1">
                  <c:v>5.1784390786462637</c:v>
                </c:pt>
                <c:pt idx="2">
                  <c:v>1.5942573737080252</c:v>
                </c:pt>
                <c:pt idx="3">
                  <c:v>22.79234569138886</c:v>
                </c:pt>
                <c:pt idx="4">
                  <c:v>29.843413309796674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66-4DB1-879A-C76C2ADE6E6D}"/>
            </c:ext>
          </c:extLst>
        </c:ser>
        <c:ser>
          <c:idx val="3"/>
          <c:order val="3"/>
          <c:tx>
            <c:strRef>
              <c:f>'Clusters Median'!$B$19</c:f>
              <c:strCache>
                <c:ptCount val="1"/>
                <c:pt idx="0">
                  <c:v>Quartile 3 ∆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566-4DB1-879A-C76C2ADE6E6D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566-4DB1-879A-C76C2ADE6E6D}"/>
              </c:ext>
            </c:extLst>
          </c:dPt>
          <c:dLbls>
            <c:delete val="1"/>
          </c:dLbls>
          <c:errBars>
            <c:errBarType val="plus"/>
            <c:errValType val="cust"/>
            <c:noEndCap val="0"/>
            <c:plus>
              <c:numRef>
                <c:f>'Clusters Median'!$C$20:$G$20</c:f>
                <c:numCache>
                  <c:formatCode>General</c:formatCode>
                  <c:ptCount val="5"/>
                  <c:pt idx="0">
                    <c:v>3.6072035880666107</c:v>
                  </c:pt>
                  <c:pt idx="1">
                    <c:v>5.1784390786462637</c:v>
                  </c:pt>
                  <c:pt idx="2">
                    <c:v>1.5942573737080252</c:v>
                  </c:pt>
                  <c:pt idx="3">
                    <c:v>22.79234569138886</c:v>
                  </c:pt>
                  <c:pt idx="4">
                    <c:v>29.843413309796659</c:v>
                  </c:pt>
                </c:numCache>
              </c:numRef>
            </c:plus>
            <c:minus>
              <c:numRef>
                <c:f>'Clusters Median'!$C$20:$G$20</c:f>
                <c:numCache>
                  <c:formatCode>General</c:formatCode>
                  <c:ptCount val="5"/>
                  <c:pt idx="0">
                    <c:v>3.6072035880666107</c:v>
                  </c:pt>
                  <c:pt idx="1">
                    <c:v>5.1784390786462637</c:v>
                  </c:pt>
                  <c:pt idx="2">
                    <c:v>1.5942573737080252</c:v>
                  </c:pt>
                  <c:pt idx="3">
                    <c:v>22.79234569138886</c:v>
                  </c:pt>
                  <c:pt idx="4">
                    <c:v>29.843413309796659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'Clusters Median'!$C$15:$G$15</c:f>
              <c:strCache>
                <c:ptCount val="5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  <c:pt idx="4">
                  <c:v>Ω</c:v>
                </c:pt>
              </c:strCache>
            </c:strRef>
          </c:cat>
          <c:val>
            <c:numRef>
              <c:f>'Clusters Median'!$C$19:$G$19</c:f>
              <c:numCache>
                <c:formatCode>#,##0.00</c:formatCode>
                <c:ptCount val="5"/>
                <c:pt idx="0">
                  <c:v>2.8337407094072233</c:v>
                </c:pt>
                <c:pt idx="1">
                  <c:v>24.123118078086137</c:v>
                </c:pt>
                <c:pt idx="2">
                  <c:v>2.7652372178126967</c:v>
                </c:pt>
                <c:pt idx="3">
                  <c:v>1.6295320364298078</c:v>
                </c:pt>
                <c:pt idx="4">
                  <c:v>16.272886557507917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66-4DB1-879A-C76C2ADE6E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72382448"/>
        <c:axId val="472376568"/>
      </c:barChart>
      <c:lineChart>
        <c:grouping val="standard"/>
        <c:varyColors val="0"/>
        <c:ser>
          <c:idx val="4"/>
          <c:order val="4"/>
          <c:tx>
            <c:strRef>
              <c:f>'Clusters Median'!$B$22</c:f>
              <c:strCache>
                <c:ptCount val="1"/>
                <c:pt idx="0">
                  <c:v>Median = 83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'Clusters Median'!$C$22:$G$22</c:f>
              <c:numCache>
                <c:formatCode>#,##0.00</c:formatCode>
                <c:ptCount val="5"/>
                <c:pt idx="0">
                  <c:v>82.863602167861245</c:v>
                </c:pt>
                <c:pt idx="1">
                  <c:v>82.863602167861245</c:v>
                </c:pt>
                <c:pt idx="2">
                  <c:v>82.863602167861245</c:v>
                </c:pt>
                <c:pt idx="3">
                  <c:v>82.863602167861245</c:v>
                </c:pt>
                <c:pt idx="4">
                  <c:v>82.863602167861245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66-4DB1-879A-C76C2ADE6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82448"/>
        <c:axId val="472376568"/>
      </c:lineChart>
      <c:catAx>
        <c:axId val="47238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76568"/>
        <c:crosses val="autoZero"/>
        <c:auto val="1"/>
        <c:lblAlgn val="ctr"/>
        <c:lblOffset val="100"/>
        <c:noMultiLvlLbl val="0"/>
      </c:catAx>
      <c:valAx>
        <c:axId val="47237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8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1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'Clusters Factory'!$A$1</c:f>
          <c:strCache>
            <c:ptCount val="1"/>
            <c:pt idx="0">
              <c:v> Cluster Factory </c:v>
            </c:pt>
          </c:strCache>
        </c:strRef>
      </c:tx>
      <c:overlay val="0"/>
      <c:txPr>
        <a:bodyPr/>
        <a:lstStyle/>
        <a:p>
          <a:pPr>
            <a:defRPr sz="1400" baseline="0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'Clusters Factory'!$A$3</c:f>
              <c:strCache>
                <c:ptCount val="1"/>
                <c:pt idx="0">
                  <c:v>Cluster 1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tx2"/>
              </a:solidFill>
            </c:spPr>
          </c:marker>
          <c:dLbls>
            <c:dLbl>
              <c:idx val="0"/>
              <c:tx>
                <c:strRef>
                  <c:f>'Clusters Factory'!$A$4</c:f>
                  <c:strCache>
                    <c:ptCount val="1"/>
                    <c:pt idx="0">
                      <c:v> A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{DEB34E7D-183E-48F6-B420-9C500FC39943}</c15:txfldGUID>
                      <c15:f>'Clusters Factory'!$A$4</c15:f>
                      <c15:dlblFieldTableCache>
                        <c:ptCount val="1"/>
                        <c:pt idx="0">
                          <c:v> A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06D-4B7C-BC87-CC89D9DFA4AF}"/>
                </c:ext>
              </c:extLst>
            </c:dLbl>
            <c:dLbl>
              <c:idx val="1"/>
              <c:tx>
                <c:strRef>
                  <c:f>'Clusters Factory'!$A$5</c:f>
                  <c:strCache>
                    <c:ptCount val="1"/>
                    <c:pt idx="0">
                      <c:v> B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{A9285B08-A2A7-4565-89A8-3C0D91F8BC79}</c15:txfldGUID>
                      <c15:f>'Clusters Factory'!$A$5</c15:f>
                      <c15:dlblFieldTableCache>
                        <c:ptCount val="1"/>
                        <c:pt idx="0">
                          <c:v> B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506D-4B7C-BC87-CC89D9DFA4AF}"/>
                </c:ext>
              </c:extLst>
            </c:dLbl>
            <c:dLbl>
              <c:idx val="2"/>
              <c:tx>
                <c:strRef>
                  <c:f>'Clusters Factory'!$A$6</c:f>
                  <c:strCache>
                    <c:ptCount val="1"/>
                    <c:pt idx="0">
                      <c:v> C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{0E0D563A-0413-4F52-8027-98E3839B33E9}</c15:txfldGUID>
                      <c15:f>'Clusters Factory'!$A$6</c15:f>
                      <c15:dlblFieldTableCache>
                        <c:ptCount val="1"/>
                        <c:pt idx="0">
                          <c:v> C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06D-4B7C-BC87-CC89D9DFA4AF}"/>
                </c:ext>
              </c:extLst>
            </c:dLbl>
            <c:dLbl>
              <c:idx val="3"/>
              <c:tx>
                <c:strRef>
                  <c:f>'Clusters Factory'!$A$7</c:f>
                  <c:strCache>
                    <c:ptCount val="1"/>
                    <c:pt idx="0">
                      <c:v> D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{602F0A49-DAC7-43EF-90DB-4D084C6AE1B8}</c15:txfldGUID>
                      <c15:f>'Clusters Factory'!$A$7</c15:f>
                      <c15:dlblFieldTableCache>
                        <c:ptCount val="1"/>
                        <c:pt idx="0">
                          <c:v> D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06D-4B7C-BC87-CC89D9DFA4AF}"/>
                </c:ext>
              </c:extLst>
            </c:dLbl>
            <c:dLbl>
              <c:idx val="4"/>
              <c:tx>
                <c:strRef>
                  <c:f>'Clusters Factory'!$A$8</c:f>
                  <c:strCache>
                    <c:ptCount val="1"/>
                    <c:pt idx="0">
                      <c:v> E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{6FC15090-5D6D-48DC-9080-4CBC974532FF}</c15:txfldGUID>
                      <c15:f>'Clusters Factory'!$A$8</c15:f>
                      <c15:dlblFieldTableCache>
                        <c:ptCount val="1"/>
                        <c:pt idx="0">
                          <c:v> E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06D-4B7C-BC87-CC89D9DFA4AF}"/>
                </c:ext>
              </c:extLst>
            </c:dLbl>
            <c:dLbl>
              <c:idx val="5"/>
              <c:tx>
                <c:strRef>
                  <c:f>'Clusters Factory'!$A$9</c:f>
                  <c:strCache>
                    <c:ptCount val="1"/>
                    <c:pt idx="0">
                      <c:v> F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{C49C8736-EA9A-4C4F-8A14-44F695D55458}</c15:txfldGUID>
                      <c15:f>'Clusters Factory'!$A$9</c15:f>
                      <c15:dlblFieldTableCache>
                        <c:ptCount val="1"/>
                        <c:pt idx="0">
                          <c:v> F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06D-4B7C-BC87-CC89D9DFA4AF}"/>
                </c:ext>
              </c:extLst>
            </c:dLbl>
            <c:dLbl>
              <c:idx val="6"/>
              <c:tx>
                <c:strRef>
                  <c:f>'Clusters Factory'!$A$10</c:f>
                  <c:strCache>
                    <c:ptCount val="1"/>
                    <c:pt idx="0">
                      <c:v> G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{8319B2D9-5531-4A62-8007-605F3EE08B07}</c15:txfldGUID>
                      <c15:f>'Clusters Factory'!$A$10</c15:f>
                      <c15:dlblFieldTableCache>
                        <c:ptCount val="1"/>
                        <c:pt idx="0">
                          <c:v> G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06D-4B7C-BC87-CC89D9DFA4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'Clusters Factory'!$B$4:$B$10</c:f>
              <c:numCache>
                <c:formatCode>#,##0.00</c:formatCode>
                <c:ptCount val="7"/>
                <c:pt idx="0">
                  <c:v>69.254279333159076</c:v>
                </c:pt>
                <c:pt idx="1">
                  <c:v>55.669690216363023</c:v>
                </c:pt>
                <c:pt idx="2">
                  <c:v>62.729657410067546</c:v>
                </c:pt>
                <c:pt idx="3">
                  <c:v>64.148383854618615</c:v>
                </c:pt>
                <c:pt idx="4">
                  <c:v>63.905936475063037</c:v>
                </c:pt>
                <c:pt idx="5">
                  <c:v>55.114931034584778</c:v>
                </c:pt>
                <c:pt idx="6">
                  <c:v>60.58052374023017</c:v>
                </c:pt>
              </c:numCache>
            </c:numRef>
          </c:xVal>
          <c:yVal>
            <c:numRef>
              <c:f>'Clusters Factory'!$C$4:$C$10</c:f>
              <c:numCache>
                <c:formatCode>#,##0.00</c:formatCode>
                <c:ptCount val="7"/>
                <c:pt idx="0">
                  <c:v>37.016071430023558</c:v>
                </c:pt>
                <c:pt idx="1">
                  <c:v>34.980764845981888</c:v>
                </c:pt>
                <c:pt idx="2">
                  <c:v>38.611242261772908</c:v>
                </c:pt>
                <c:pt idx="3">
                  <c:v>35.615182365109277</c:v>
                </c:pt>
                <c:pt idx="4">
                  <c:v>39.947777711366754</c:v>
                </c:pt>
                <c:pt idx="5">
                  <c:v>39.942537986444847</c:v>
                </c:pt>
                <c:pt idx="6">
                  <c:v>36.674732502062781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6D-4B7C-BC87-CC89D9DFA4AF}"/>
            </c:ext>
          </c:extLst>
        </c:ser>
        <c:ser>
          <c:idx val="1"/>
          <c:order val="1"/>
          <c:tx>
            <c:strRef>
              <c:f>'Clusters Factory'!$A$11</c:f>
              <c:strCache>
                <c:ptCount val="1"/>
                <c:pt idx="0">
                  <c:v>Cluster 2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dLbls>
            <c:dLbl>
              <c:idx val="0"/>
              <c:tx>
                <c:strRef>
                  <c:f>'Clusters Factory'!$A$12</c:f>
                  <c:strCache>
                    <c:ptCount val="1"/>
                    <c:pt idx="0">
                      <c:v> H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{A8BF7BC9-31E6-470A-AA7A-1826E02C6B27}</c15:txfldGUID>
                      <c15:f>'Clusters Factory'!$A$12</c15:f>
                      <c15:dlblFieldTableCache>
                        <c:ptCount val="1"/>
                        <c:pt idx="0">
                          <c:v> H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06D-4B7C-BC87-CC89D9DFA4AF}"/>
                </c:ext>
              </c:extLst>
            </c:dLbl>
            <c:dLbl>
              <c:idx val="1"/>
              <c:tx>
                <c:strRef>
                  <c:f>'Clusters Factory'!$A$13</c:f>
                  <c:strCache>
                    <c:ptCount val="1"/>
                    <c:pt idx="0">
                      <c:v> I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{1B28EE3F-3C88-4F2E-B202-140D397A6CEB}</c15:txfldGUID>
                      <c15:f>'Clusters Factory'!$A$13</c15:f>
                      <c15:dlblFieldTableCache>
                        <c:ptCount val="1"/>
                        <c:pt idx="0">
                          <c:v> I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06D-4B7C-BC87-CC89D9DFA4AF}"/>
                </c:ext>
              </c:extLst>
            </c:dLbl>
            <c:dLbl>
              <c:idx val="2"/>
              <c:tx>
                <c:strRef>
                  <c:f>'Clusters Factory'!$A$14</c:f>
                  <c:strCache>
                    <c:ptCount val="1"/>
                    <c:pt idx="0">
                      <c:v> J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{E8D0215F-D908-4665-8DBE-D565D6D32ED5}</c15:txfldGUID>
                      <c15:f>'Clusters Factory'!$A$14</c15:f>
                      <c15:dlblFieldTableCache>
                        <c:ptCount val="1"/>
                        <c:pt idx="0">
                          <c:v> J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06D-4B7C-BC87-CC89D9DFA4AF}"/>
                </c:ext>
              </c:extLst>
            </c:dLbl>
            <c:dLbl>
              <c:idx val="3"/>
              <c:tx>
                <c:strRef>
                  <c:f>'Clusters Factory'!$A$15</c:f>
                  <c:strCache>
                    <c:ptCount val="1"/>
                    <c:pt idx="0">
                      <c:v> K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{253FC21D-BBEA-4397-B699-2EEE7A19AAD3}</c15:txfldGUID>
                      <c15:f>'Clusters Factory'!$A$15</c15:f>
                      <c15:dlblFieldTableCache>
                        <c:ptCount val="1"/>
                        <c:pt idx="0">
                          <c:v> K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06D-4B7C-BC87-CC89D9DFA4AF}"/>
                </c:ext>
              </c:extLst>
            </c:dLbl>
            <c:dLbl>
              <c:idx val="4"/>
              <c:tx>
                <c:strRef>
                  <c:f>'Clusters Factory'!$A$16</c:f>
                  <c:strCache>
                    <c:ptCount val="1"/>
                    <c:pt idx="0">
                      <c:v> L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{323CAD61-89C2-446E-A273-8CD66264C0E8}</c15:txfldGUID>
                      <c15:f>'Clusters Factory'!$A$16</c15:f>
                      <c15:dlblFieldTableCache>
                        <c:ptCount val="1"/>
                        <c:pt idx="0">
                          <c:v> L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06D-4B7C-BC87-CC89D9DFA4AF}"/>
                </c:ext>
              </c:extLst>
            </c:dLbl>
            <c:dLbl>
              <c:idx val="5"/>
              <c:tx>
                <c:strRef>
                  <c:f>'Clusters Factory'!$A$17</c:f>
                  <c:strCache>
                    <c:ptCount val="1"/>
                    <c:pt idx="0">
                      <c:v> M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{EA7995E4-89B0-44B5-8632-5C4F8D18CF81}</c15:txfldGUID>
                      <c15:f>'Clusters Factory'!$A$17</c15:f>
                      <c15:dlblFieldTableCache>
                        <c:ptCount val="1"/>
                        <c:pt idx="0">
                          <c:v> M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06D-4B7C-BC87-CC89D9DFA4AF}"/>
                </c:ext>
              </c:extLst>
            </c:dLbl>
            <c:dLbl>
              <c:idx val="6"/>
              <c:tx>
                <c:strRef>
                  <c:f>'Clusters Factory'!$A$18</c:f>
                  <c:strCache>
                    <c:ptCount val="1"/>
                    <c:pt idx="0">
                      <c:v> N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{0C2A96AA-B153-400C-8915-E42F000E0878}</c15:txfldGUID>
                      <c15:f>'Clusters Factory'!$A$18</c15:f>
                      <c15:dlblFieldTableCache>
                        <c:ptCount val="1"/>
                        <c:pt idx="0">
                          <c:v> N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06D-4B7C-BC87-CC89D9DFA4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'Clusters Factory'!$B$12:$B$18</c:f>
              <c:numCache>
                <c:formatCode>#,##0.00</c:formatCode>
                <c:ptCount val="7"/>
                <c:pt idx="0">
                  <c:v>29.572551776227016</c:v>
                </c:pt>
                <c:pt idx="1">
                  <c:v>25.803706252033923</c:v>
                </c:pt>
                <c:pt idx="2">
                  <c:v>23.31801048698647</c:v>
                </c:pt>
                <c:pt idx="3">
                  <c:v>35.233577197594052</c:v>
                </c:pt>
                <c:pt idx="4">
                  <c:v>34.342150063705581</c:v>
                </c:pt>
                <c:pt idx="5">
                  <c:v>23.012070053829863</c:v>
                </c:pt>
                <c:pt idx="6">
                  <c:v>28.581295166351421</c:v>
                </c:pt>
              </c:numCache>
            </c:numRef>
          </c:xVal>
          <c:yVal>
            <c:numRef>
              <c:f>'Clusters Factory'!$C$12:$C$18</c:f>
              <c:numCache>
                <c:formatCode>#,##0.00</c:formatCode>
                <c:ptCount val="7"/>
                <c:pt idx="0">
                  <c:v>83.565035026306177</c:v>
                </c:pt>
                <c:pt idx="1">
                  <c:v>66.473549763137541</c:v>
                </c:pt>
                <c:pt idx="2">
                  <c:v>97.130481568413813</c:v>
                </c:pt>
                <c:pt idx="3">
                  <c:v>84.429584186387956</c:v>
                </c:pt>
                <c:pt idx="4">
                  <c:v>54.691407796766434</c:v>
                </c:pt>
                <c:pt idx="5">
                  <c:v>51.968080305242594</c:v>
                </c:pt>
                <c:pt idx="6">
                  <c:v>56.58278084622696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06D-4B7C-BC87-CC89D9DFA4AF}"/>
            </c:ext>
          </c:extLst>
        </c:ser>
        <c:ser>
          <c:idx val="2"/>
          <c:order val="2"/>
          <c:tx>
            <c:strRef>
              <c:f>'Clusters Factory'!$A$19</c:f>
              <c:strCache>
                <c:ptCount val="1"/>
                <c:pt idx="0">
                  <c:v>Cluster 3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accent3">
                  <a:lumMod val="50000"/>
                </a:schemeClr>
              </a:solidFill>
            </c:spPr>
          </c:marker>
          <c:dLbls>
            <c:dLbl>
              <c:idx val="0"/>
              <c:tx>
                <c:strRef>
                  <c:f>'Clusters Factory'!$A$20</c:f>
                  <c:strCache>
                    <c:ptCount val="1"/>
                    <c:pt idx="0">
                      <c:v> O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{742DCC1B-7141-4B2D-B9BD-9C5BC277DB64}</c15:txfldGUID>
                      <c15:f>'Clusters Factory'!$A$20</c15:f>
                      <c15:dlblFieldTableCache>
                        <c:ptCount val="1"/>
                        <c:pt idx="0">
                          <c:v> O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06D-4B7C-BC87-CC89D9DFA4AF}"/>
                </c:ext>
              </c:extLst>
            </c:dLbl>
            <c:dLbl>
              <c:idx val="1"/>
              <c:tx>
                <c:strRef>
                  <c:f>'Clusters Factory'!$A$21</c:f>
                  <c:strCache>
                    <c:ptCount val="1"/>
                    <c:pt idx="0">
                      <c:v> P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{1C122860-6FAF-4C9F-BC8D-036039D676B8}</c15:txfldGUID>
                      <c15:f>'Clusters Factory'!$A$21</c15:f>
                      <c15:dlblFieldTableCache>
                        <c:ptCount val="1"/>
                        <c:pt idx="0">
                          <c:v> P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06D-4B7C-BC87-CC89D9DFA4AF}"/>
                </c:ext>
              </c:extLst>
            </c:dLbl>
            <c:dLbl>
              <c:idx val="2"/>
              <c:tx>
                <c:strRef>
                  <c:f>'Clusters Factory'!$A$22</c:f>
                  <c:strCache>
                    <c:ptCount val="1"/>
                    <c:pt idx="0">
                      <c:v> Q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{CBBF59CF-988B-4F99-B6CD-C47E28F7B81A}</c15:txfldGUID>
                      <c15:f>'Clusters Factory'!$A$22</c15:f>
                      <c15:dlblFieldTableCache>
                        <c:ptCount val="1"/>
                        <c:pt idx="0">
                          <c:v> Q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06D-4B7C-BC87-CC89D9DFA4AF}"/>
                </c:ext>
              </c:extLst>
            </c:dLbl>
            <c:dLbl>
              <c:idx val="3"/>
              <c:tx>
                <c:strRef>
                  <c:f>'Clusters Factory'!$A$23</c:f>
                  <c:strCache>
                    <c:ptCount val="1"/>
                    <c:pt idx="0">
                      <c:v> R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{66163954-1D43-46A1-8597-1A14EBE9DEF4}</c15:txfldGUID>
                      <c15:f>'Clusters Factory'!$A$23</c15:f>
                      <c15:dlblFieldTableCache>
                        <c:ptCount val="1"/>
                        <c:pt idx="0">
                          <c:v> R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06D-4B7C-BC87-CC89D9DFA4AF}"/>
                </c:ext>
              </c:extLst>
            </c:dLbl>
            <c:dLbl>
              <c:idx val="4"/>
              <c:tx>
                <c:strRef>
                  <c:f>'Clusters Factory'!$A$24</c:f>
                  <c:strCache>
                    <c:ptCount val="1"/>
                    <c:pt idx="0">
                      <c:v> S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{78A9FFEF-3539-4102-8B5E-2683F228CCBC}</c15:txfldGUID>
                      <c15:f>'Clusters Factory'!$A$24</c15:f>
                      <c15:dlblFieldTableCache>
                        <c:ptCount val="1"/>
                        <c:pt idx="0">
                          <c:v> S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06D-4B7C-BC87-CC89D9DFA4AF}"/>
                </c:ext>
              </c:extLst>
            </c:dLbl>
            <c:dLbl>
              <c:idx val="5"/>
              <c:tx>
                <c:strRef>
                  <c:f>'Clusters Factory'!$A$25</c:f>
                  <c:strCache>
                    <c:ptCount val="1"/>
                    <c:pt idx="0">
                      <c:v> T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{114F02AC-76B9-4169-A3C1-A5C05AB888C5}</c15:txfldGUID>
                      <c15:f>'Clusters Factory'!$A$25</c15:f>
                      <c15:dlblFieldTableCache>
                        <c:ptCount val="1"/>
                        <c:pt idx="0">
                          <c:v> T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06D-4B7C-BC87-CC89D9DFA4AF}"/>
                </c:ext>
              </c:extLst>
            </c:dLbl>
            <c:dLbl>
              <c:idx val="6"/>
              <c:tx>
                <c:strRef>
                  <c:f>'Clusters Factory'!$A$26</c:f>
                  <c:strCache>
                    <c:ptCount val="1"/>
                    <c:pt idx="0">
                      <c:v> U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{941AC05E-7F2B-465D-9DE6-3F423CB6108B}</c15:txfldGUID>
                      <c15:f>'Clusters Factory'!$A$26</c15:f>
                      <c15:dlblFieldTableCache>
                        <c:ptCount val="1"/>
                        <c:pt idx="0">
                          <c:v> U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06D-4B7C-BC87-CC89D9DFA4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'Clusters Factory'!$B$20:$B$26</c:f>
              <c:numCache>
                <c:formatCode>#,##0.00</c:formatCode>
                <c:ptCount val="7"/>
                <c:pt idx="0">
                  <c:v>46.738174982290893</c:v>
                </c:pt>
                <c:pt idx="1">
                  <c:v>38.80445727157943</c:v>
                </c:pt>
                <c:pt idx="2">
                  <c:v>34.995263273807701</c:v>
                </c:pt>
                <c:pt idx="3">
                  <c:v>31.062918566961052</c:v>
                </c:pt>
                <c:pt idx="4">
                  <c:v>37.551564399874934</c:v>
                </c:pt>
                <c:pt idx="5">
                  <c:v>31.540164640877954</c:v>
                </c:pt>
                <c:pt idx="6">
                  <c:v>38.410170891037218</c:v>
                </c:pt>
              </c:numCache>
            </c:numRef>
          </c:xVal>
          <c:yVal>
            <c:numRef>
              <c:f>'Clusters Factory'!$C$20:$C$26</c:f>
              <c:numCache>
                <c:formatCode>#,##0.00</c:formatCode>
                <c:ptCount val="7"/>
                <c:pt idx="0">
                  <c:v>15.336564356305162</c:v>
                </c:pt>
                <c:pt idx="1">
                  <c:v>13.378298920881255</c:v>
                </c:pt>
                <c:pt idx="2">
                  <c:v>13.910208947398827</c:v>
                </c:pt>
                <c:pt idx="3">
                  <c:v>15.333969145181698</c:v>
                </c:pt>
                <c:pt idx="4">
                  <c:v>11.693872940507731</c:v>
                </c:pt>
                <c:pt idx="5">
                  <c:v>14.284467328397037</c:v>
                </c:pt>
                <c:pt idx="6">
                  <c:v>13.428422032892813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06D-4B7C-BC87-CC89D9DFA4AF}"/>
            </c:ext>
          </c:extLst>
        </c:ser>
        <c:ser>
          <c:idx val="3"/>
          <c:order val="3"/>
          <c:tx>
            <c:strRef>
              <c:f>'Clusters Factory'!$A$27</c:f>
              <c:strCache>
                <c:ptCount val="1"/>
                <c:pt idx="0">
                  <c:v>Noise</c:v>
                </c:pt>
              </c:strCache>
            </c:strRef>
          </c:tx>
          <c:spPr>
            <a:ln w="28575">
              <a:noFill/>
            </a:ln>
          </c:spPr>
          <c:marker>
            <c:spPr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dLbls>
            <c:dLbl>
              <c:idx val="0"/>
              <c:tx>
                <c:strRef>
                  <c:f>'Clusters Factory'!$A$28</c:f>
                  <c:strCache>
                    <c:ptCount val="1"/>
                    <c:pt idx="0">
                      <c:v> V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{477A1DCB-02A3-4556-9034-1154ACF09E87}</c15:txfldGUID>
                      <c15:f>'Clusters Factory'!$A$28</c15:f>
                      <c15:dlblFieldTableCache>
                        <c:ptCount val="1"/>
                        <c:pt idx="0">
                          <c:v> V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06D-4B7C-BC87-CC89D9DFA4AF}"/>
                </c:ext>
              </c:extLst>
            </c:dLbl>
            <c:dLbl>
              <c:idx val="1"/>
              <c:tx>
                <c:strRef>
                  <c:f>'Clusters Factory'!$A$29</c:f>
                  <c:strCache>
                    <c:ptCount val="1"/>
                    <c:pt idx="0">
                      <c:v> W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{12C48877-E5B1-463C-8544-B687B85CADB0}</c15:txfldGUID>
                      <c15:f>'Clusters Factory'!$A$29</c15:f>
                      <c15:dlblFieldTableCache>
                        <c:ptCount val="1"/>
                        <c:pt idx="0">
                          <c:v> W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06D-4B7C-BC87-CC89D9DFA4AF}"/>
                </c:ext>
              </c:extLst>
            </c:dLbl>
            <c:dLbl>
              <c:idx val="2"/>
              <c:tx>
                <c:strRef>
                  <c:f>'Clusters Factory'!$A$30</c:f>
                  <c:strCache>
                    <c:ptCount val="1"/>
                    <c:pt idx="0">
                      <c:v> X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{9AD17AEE-8053-4A70-A84C-8A1F9DD5E8AB}</c15:txfldGUID>
                      <c15:f>'Clusters Factory'!$A$30</c15:f>
                      <c15:dlblFieldTableCache>
                        <c:ptCount val="1"/>
                        <c:pt idx="0">
                          <c:v> X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506D-4B7C-BC87-CC89D9DFA4AF}"/>
                </c:ext>
              </c:extLst>
            </c:dLbl>
            <c:dLbl>
              <c:idx val="3"/>
              <c:tx>
                <c:strRef>
                  <c:f>'Clusters Factory'!$A$31</c:f>
                  <c:strCache>
                    <c:ptCount val="1"/>
                    <c:pt idx="0">
                      <c:v> Y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{C1D5E8A1-11EC-49DE-84E5-38E05477FD3E}</c15:txfldGUID>
                      <c15:f>'Clusters Factory'!$A$31</c15:f>
                      <c15:dlblFieldTableCache>
                        <c:ptCount val="1"/>
                        <c:pt idx="0">
                          <c:v> Y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06D-4B7C-BC87-CC89D9DFA4AF}"/>
                </c:ext>
              </c:extLst>
            </c:dLbl>
            <c:dLbl>
              <c:idx val="4"/>
              <c:tx>
                <c:strRef>
                  <c:f>'Clusters Factory'!$A$32</c:f>
                  <c:strCache>
                    <c:ptCount val="1"/>
                    <c:pt idx="0">
                      <c:v> Z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{26425D53-56BC-4E65-8496-8C2A99E5D3F3}</c15:txfldGUID>
                      <c15:f>'Clusters Factory'!$A$32</c15:f>
                      <c15:dlblFieldTableCache>
                        <c:ptCount val="1"/>
                        <c:pt idx="0">
                          <c:v> Z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506D-4B7C-BC87-CC89D9DFA4A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'Clusters Factory'!$B$28:$B$32</c:f>
              <c:numCache>
                <c:formatCode>#,##0.00</c:formatCode>
                <c:ptCount val="5"/>
                <c:pt idx="0">
                  <c:v>26.197823898874965</c:v>
                </c:pt>
                <c:pt idx="1">
                  <c:v>36.96100487081015</c:v>
                </c:pt>
                <c:pt idx="2">
                  <c:v>19.001528346146831</c:v>
                </c:pt>
                <c:pt idx="3">
                  <c:v>39.70124273581812</c:v>
                </c:pt>
                <c:pt idx="4">
                  <c:v>35.069161971257977</c:v>
                </c:pt>
              </c:numCache>
            </c:numRef>
          </c:xVal>
          <c:yVal>
            <c:numRef>
              <c:f>'Clusters Factory'!$C$28:$C$32</c:f>
              <c:numCache>
                <c:formatCode>#,##0.00</c:formatCode>
                <c:ptCount val="5"/>
                <c:pt idx="0">
                  <c:v>53.756540683819914</c:v>
                </c:pt>
                <c:pt idx="1">
                  <c:v>41.363827675454914</c:v>
                </c:pt>
                <c:pt idx="2">
                  <c:v>26.348962943181796</c:v>
                </c:pt>
                <c:pt idx="3">
                  <c:v>40.861885587326015</c:v>
                </c:pt>
                <c:pt idx="4">
                  <c:v>20.463324883618235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06D-4B7C-BC87-CC89D9DFA4AF}"/>
            </c:ext>
          </c:extLst>
        </c:ser>
        <c:ser>
          <c:idx val="4"/>
          <c:order val="4"/>
          <c:tx>
            <c:strRef>
              <c:f>'Clusters Factory'!$D$43</c:f>
              <c:strCache>
                <c:ptCount val="1"/>
                <c:pt idx="0">
                  <c:v> Cluster Centers 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'Clusters Factory'!$B$45:$B$47</c:f>
              <c:numCache>
                <c:formatCode>#,##0.00</c:formatCode>
                <c:ptCount val="3"/>
                <c:pt idx="0">
                  <c:v>61.629057437726601</c:v>
                </c:pt>
                <c:pt idx="1">
                  <c:v>28.551908713818332</c:v>
                </c:pt>
                <c:pt idx="2">
                  <c:v>37.014673432347024</c:v>
                </c:pt>
              </c:numCache>
            </c:numRef>
          </c:xVal>
          <c:yVal>
            <c:numRef>
              <c:f>'Clusters Factory'!$C$45:$C$47</c:f>
              <c:numCache>
                <c:formatCode>#,##0.00</c:formatCode>
                <c:ptCount val="3"/>
                <c:pt idx="0">
                  <c:v>37.54118701468029</c:v>
                </c:pt>
                <c:pt idx="1">
                  <c:v>70.691559927497366</c:v>
                </c:pt>
                <c:pt idx="2">
                  <c:v>13.909400524509218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06D-4B7C-BC87-CC89D9DFA4AF}"/>
            </c:ext>
          </c:extLst>
        </c:ser>
        <c:ser>
          <c:idx val="5"/>
          <c:order val="5"/>
          <c:tx>
            <c:strRef>
              <c:f>'Clusters Factory'!$C$131</c:f>
              <c:strCache>
                <c:ptCount val="1"/>
                <c:pt idx="0">
                  <c:v> 1 error 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'Clusters Factory'!$B$136:$B$160</c:f>
              <c:numCache>
                <c:formatCode>#,##0.00</c:formatCode>
                <c:ptCount val="25"/>
                <c:pt idx="0">
                  <c:v>65.979268759016577</c:v>
                </c:pt>
                <c:pt idx="1">
                  <c:v>65.831038902775674</c:v>
                </c:pt>
                <c:pt idx="2">
                  <c:v>65.396450953794385</c:v>
                </c:pt>
                <c:pt idx="3">
                  <c:v>64.705121362605226</c:v>
                </c:pt>
                <c:pt idx="4">
                  <c:v>63.804163098371589</c:v>
                </c:pt>
                <c:pt idx="5">
                  <c:v>62.754974977897049</c:v>
                </c:pt>
                <c:pt idx="6">
                  <c:v>61.629057437726601</c:v>
                </c:pt>
                <c:pt idx="7">
                  <c:v>60.503139897556153</c:v>
                </c:pt>
                <c:pt idx="8">
                  <c:v>59.453951777081613</c:v>
                </c:pt>
                <c:pt idx="9">
                  <c:v>58.552993512847969</c:v>
                </c:pt>
                <c:pt idx="10">
                  <c:v>57.861663921658817</c:v>
                </c:pt>
                <c:pt idx="11">
                  <c:v>57.427075972677528</c:v>
                </c:pt>
                <c:pt idx="12">
                  <c:v>57.278846116436625</c:v>
                </c:pt>
                <c:pt idx="13">
                  <c:v>57.427075972677528</c:v>
                </c:pt>
                <c:pt idx="14">
                  <c:v>57.861663921658817</c:v>
                </c:pt>
                <c:pt idx="15">
                  <c:v>58.552993512847969</c:v>
                </c:pt>
                <c:pt idx="16">
                  <c:v>59.453951777081613</c:v>
                </c:pt>
                <c:pt idx="17">
                  <c:v>60.503139897556153</c:v>
                </c:pt>
                <c:pt idx="18">
                  <c:v>61.629057437726601</c:v>
                </c:pt>
                <c:pt idx="19">
                  <c:v>62.754974977897042</c:v>
                </c:pt>
                <c:pt idx="20">
                  <c:v>63.804163098371589</c:v>
                </c:pt>
                <c:pt idx="21">
                  <c:v>64.705121362605226</c:v>
                </c:pt>
                <c:pt idx="22">
                  <c:v>65.396450953794385</c:v>
                </c:pt>
                <c:pt idx="23">
                  <c:v>65.831038902775674</c:v>
                </c:pt>
                <c:pt idx="24">
                  <c:v>65.979268759016577</c:v>
                </c:pt>
              </c:numCache>
            </c:numRef>
          </c:xVal>
          <c:yVal>
            <c:numRef>
              <c:f>'Clusters Factory'!$C$136:$C$160</c:f>
              <c:numCache>
                <c:formatCode>#,##0.00</c:formatCode>
                <c:ptCount val="25"/>
                <c:pt idx="0">
                  <c:v>37.54118701468029</c:v>
                </c:pt>
                <c:pt idx="1">
                  <c:v>38.667104554850738</c:v>
                </c:pt>
                <c:pt idx="2">
                  <c:v>39.716292675325278</c:v>
                </c:pt>
                <c:pt idx="3">
                  <c:v>40.617250939558922</c:v>
                </c:pt>
                <c:pt idx="4">
                  <c:v>41.308580530748074</c:v>
                </c:pt>
                <c:pt idx="5">
                  <c:v>41.743168479729363</c:v>
                </c:pt>
                <c:pt idx="6">
                  <c:v>41.891398335970266</c:v>
                </c:pt>
                <c:pt idx="7">
                  <c:v>41.743168479729363</c:v>
                </c:pt>
                <c:pt idx="8">
                  <c:v>41.308580530748074</c:v>
                </c:pt>
                <c:pt idx="9">
                  <c:v>40.617250939558922</c:v>
                </c:pt>
                <c:pt idx="10">
                  <c:v>39.716292675325278</c:v>
                </c:pt>
                <c:pt idx="11">
                  <c:v>38.667104554850738</c:v>
                </c:pt>
                <c:pt idx="12">
                  <c:v>37.54118701468029</c:v>
                </c:pt>
                <c:pt idx="13">
                  <c:v>36.415269474509842</c:v>
                </c:pt>
                <c:pt idx="14">
                  <c:v>35.366081354035302</c:v>
                </c:pt>
                <c:pt idx="15">
                  <c:v>34.465123089801658</c:v>
                </c:pt>
                <c:pt idx="16">
                  <c:v>33.773793498612505</c:v>
                </c:pt>
                <c:pt idx="17">
                  <c:v>33.339205549631217</c:v>
                </c:pt>
                <c:pt idx="18">
                  <c:v>33.190975693390314</c:v>
                </c:pt>
                <c:pt idx="19">
                  <c:v>33.33920554963121</c:v>
                </c:pt>
                <c:pt idx="20">
                  <c:v>33.773793498612505</c:v>
                </c:pt>
                <c:pt idx="21">
                  <c:v>34.465123089801658</c:v>
                </c:pt>
                <c:pt idx="22">
                  <c:v>35.366081354035302</c:v>
                </c:pt>
                <c:pt idx="23">
                  <c:v>36.415269474509842</c:v>
                </c:pt>
                <c:pt idx="24">
                  <c:v>37.54118701468029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06D-4B7C-BC87-CC89D9DFA4AF}"/>
            </c:ext>
          </c:extLst>
        </c:ser>
        <c:ser>
          <c:idx val="6"/>
          <c:order val="6"/>
          <c:tx>
            <c:strRef>
              <c:f>'Clusters Factory'!$E$131</c:f>
              <c:strCache>
                <c:ptCount val="1"/>
                <c:pt idx="0">
                  <c:v> 2 errors 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'Clusters Factory'!$D$136:$D$160</c:f>
              <c:numCache>
                <c:formatCode>#,##0.00</c:formatCode>
                <c:ptCount val="25"/>
                <c:pt idx="0">
                  <c:v>70.329480080306553</c:v>
                </c:pt>
                <c:pt idx="1">
                  <c:v>70.033020367824747</c:v>
                </c:pt>
                <c:pt idx="2">
                  <c:v>69.16384446986217</c:v>
                </c:pt>
                <c:pt idx="3">
                  <c:v>67.781185287483865</c:v>
                </c:pt>
                <c:pt idx="4">
                  <c:v>65.979268759016577</c:v>
                </c:pt>
                <c:pt idx="5">
                  <c:v>63.88089251806749</c:v>
                </c:pt>
                <c:pt idx="6">
                  <c:v>61.629057437726601</c:v>
                </c:pt>
                <c:pt idx="7">
                  <c:v>59.377222357385705</c:v>
                </c:pt>
                <c:pt idx="8">
                  <c:v>57.278846116436632</c:v>
                </c:pt>
                <c:pt idx="9">
                  <c:v>55.476929587969337</c:v>
                </c:pt>
                <c:pt idx="10">
                  <c:v>54.094270405591033</c:v>
                </c:pt>
                <c:pt idx="11">
                  <c:v>53.225094507628448</c:v>
                </c:pt>
                <c:pt idx="12">
                  <c:v>52.928634795146657</c:v>
                </c:pt>
                <c:pt idx="13">
                  <c:v>53.225094507628448</c:v>
                </c:pt>
                <c:pt idx="14">
                  <c:v>54.094270405591033</c:v>
                </c:pt>
                <c:pt idx="15">
                  <c:v>55.476929587969337</c:v>
                </c:pt>
                <c:pt idx="16">
                  <c:v>57.278846116436625</c:v>
                </c:pt>
                <c:pt idx="17">
                  <c:v>59.377222357385712</c:v>
                </c:pt>
                <c:pt idx="18">
                  <c:v>61.629057437726601</c:v>
                </c:pt>
                <c:pt idx="19">
                  <c:v>63.88089251806749</c:v>
                </c:pt>
                <c:pt idx="20">
                  <c:v>65.979268759016577</c:v>
                </c:pt>
                <c:pt idx="21">
                  <c:v>67.781185287483865</c:v>
                </c:pt>
                <c:pt idx="22">
                  <c:v>69.16384446986217</c:v>
                </c:pt>
                <c:pt idx="23">
                  <c:v>70.033020367824747</c:v>
                </c:pt>
                <c:pt idx="24">
                  <c:v>70.329480080306553</c:v>
                </c:pt>
              </c:numCache>
            </c:numRef>
          </c:xVal>
          <c:yVal>
            <c:numRef>
              <c:f>'Clusters Factory'!$E$136:$E$160</c:f>
              <c:numCache>
                <c:formatCode>#,##0.00</c:formatCode>
                <c:ptCount val="25"/>
                <c:pt idx="0">
                  <c:v>37.54118701468029</c:v>
                </c:pt>
                <c:pt idx="1">
                  <c:v>39.793022095021179</c:v>
                </c:pt>
                <c:pt idx="2">
                  <c:v>41.891398335970266</c:v>
                </c:pt>
                <c:pt idx="3">
                  <c:v>43.693314864437554</c:v>
                </c:pt>
                <c:pt idx="4">
                  <c:v>45.075974046815858</c:v>
                </c:pt>
                <c:pt idx="5">
                  <c:v>45.945149944778443</c:v>
                </c:pt>
                <c:pt idx="6">
                  <c:v>46.241609657260234</c:v>
                </c:pt>
                <c:pt idx="7">
                  <c:v>45.945149944778443</c:v>
                </c:pt>
                <c:pt idx="8">
                  <c:v>45.075974046815858</c:v>
                </c:pt>
                <c:pt idx="9">
                  <c:v>43.693314864437554</c:v>
                </c:pt>
                <c:pt idx="10">
                  <c:v>41.891398335970266</c:v>
                </c:pt>
                <c:pt idx="11">
                  <c:v>39.793022095021186</c:v>
                </c:pt>
                <c:pt idx="12">
                  <c:v>37.54118701468029</c:v>
                </c:pt>
                <c:pt idx="13">
                  <c:v>35.2893519343394</c:v>
                </c:pt>
                <c:pt idx="14">
                  <c:v>33.190975693390314</c:v>
                </c:pt>
                <c:pt idx="15">
                  <c:v>31.389059164923029</c:v>
                </c:pt>
                <c:pt idx="16">
                  <c:v>30.006399982544721</c:v>
                </c:pt>
                <c:pt idx="17">
                  <c:v>29.137224084582137</c:v>
                </c:pt>
                <c:pt idx="18">
                  <c:v>28.840764372100345</c:v>
                </c:pt>
                <c:pt idx="19">
                  <c:v>29.137224084582137</c:v>
                </c:pt>
                <c:pt idx="20">
                  <c:v>30.006399982544721</c:v>
                </c:pt>
                <c:pt idx="21">
                  <c:v>31.389059164923026</c:v>
                </c:pt>
                <c:pt idx="22">
                  <c:v>33.190975693390314</c:v>
                </c:pt>
                <c:pt idx="23">
                  <c:v>35.2893519343394</c:v>
                </c:pt>
                <c:pt idx="24">
                  <c:v>37.54118701468029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06D-4B7C-BC87-CC89D9DFA4AF}"/>
            </c:ext>
          </c:extLst>
        </c:ser>
        <c:ser>
          <c:idx val="7"/>
          <c:order val="7"/>
          <c:tx>
            <c:strRef>
              <c:f>'Clusters Factory'!$A$49</c:f>
              <c:strCache>
                <c:ptCount val="1"/>
                <c:pt idx="0">
                  <c:v>Ω Center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'Clusters Factory'!$B$49</c:f>
              <c:numCache>
                <c:formatCode>#,##0.00</c:formatCode>
                <c:ptCount val="1"/>
                <c:pt idx="0">
                  <c:v>40.280778419621214</c:v>
                </c:pt>
              </c:numCache>
            </c:numRef>
          </c:xVal>
          <c:yVal>
            <c:numRef>
              <c:f>'Clusters Factory'!$C$49</c:f>
              <c:numCache>
                <c:formatCode>#,##0.00</c:formatCode>
                <c:ptCount val="1"/>
                <c:pt idx="0">
                  <c:v>39.91498361693111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06D-4B7C-BC87-CC89D9DF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77352"/>
        <c:axId val="141632016"/>
      </c:scatterChart>
      <c:valAx>
        <c:axId val="47237735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title>
          <c:tx>
            <c:strRef>
              <c:f>'Clusters Factory'!$B$2</c:f>
              <c:strCache>
                <c:ptCount val="1"/>
                <c:pt idx="0">
                  <c:v> Material </c:v>
                </c:pt>
              </c:strCache>
            </c:strRef>
          </c:tx>
          <c:overlay val="0"/>
        </c:title>
        <c:numFmt formatCode="#,##0" sourceLinked="0"/>
        <c:majorTickMark val="out"/>
        <c:minorTickMark val="none"/>
        <c:tickLblPos val="nextTo"/>
        <c:crossAx val="141632016"/>
        <c:crosses val="autoZero"/>
        <c:crossBetween val="midCat"/>
      </c:valAx>
      <c:valAx>
        <c:axId val="1416320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strRef>
              <c:f>'Clusters Factory'!$C$2</c:f>
              <c:strCache>
                <c:ptCount val="1"/>
                <c:pt idx="0">
                  <c:v> Labor </c:v>
                </c:pt>
              </c:strCache>
            </c:strRef>
          </c:tx>
          <c:overlay val="0"/>
          <c:txPr>
            <a:bodyPr rot="0" vert="wordArtVert"/>
            <a:lstStyle/>
            <a:p>
              <a:pPr>
                <a:defRPr/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crossAx val="472377352"/>
        <c:crosses val="autoZero"/>
        <c:crossBetween val="midCat"/>
      </c:valAx>
    </c:plotArea>
    <c:legend>
      <c:legendPos val="b"/>
      <c:legendEntry>
        <c:idx val="5"/>
        <c:delete val="1"/>
      </c:legendEntry>
      <c:legendEntry>
        <c:idx val="6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0" baseline="0"/>
              <a:t>Les grappes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Clusters_1!$A$1</c:f>
              <c:strCache>
                <c:ptCount val="1"/>
                <c:pt idx="0">
                  <c:v> Produit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strRef>
                  <c:f>Clusters_1!$A$2</c:f>
                  <c:strCache>
                    <c:ptCount val="1"/>
                    <c:pt idx="0">
                      <c:v> A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{27FC408D-6E1E-47EF-A813-22C60852C192}</c15:txfldGUID>
                      <c15:f>Clusters_1!$A$2</c15:f>
                      <c15:dlblFieldTableCache>
                        <c:ptCount val="1"/>
                        <c:pt idx="0">
                          <c:v> A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4935-4173-9423-7A6C2FD44A40}"/>
                </c:ext>
              </c:extLst>
            </c:dLbl>
            <c:dLbl>
              <c:idx val="1"/>
              <c:tx>
                <c:strRef>
                  <c:f>Clusters_1!$A$3</c:f>
                  <c:strCache>
                    <c:ptCount val="1"/>
                    <c:pt idx="0">
                      <c:v> B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{361D96F6-F969-42EE-B0FF-21D677317943}</c15:txfldGUID>
                      <c15:f>Clusters_1!$A$3</c15:f>
                      <c15:dlblFieldTableCache>
                        <c:ptCount val="1"/>
                        <c:pt idx="0">
                          <c:v> B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4935-4173-9423-7A6C2FD44A40}"/>
                </c:ext>
              </c:extLst>
            </c:dLbl>
            <c:dLbl>
              <c:idx val="2"/>
              <c:tx>
                <c:strRef>
                  <c:f>Clusters_1!$A$4</c:f>
                  <c:strCache>
                    <c:ptCount val="1"/>
                    <c:pt idx="0">
                      <c:v> C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{DA0A110C-7409-4D68-9BEC-E32C37042FEA}</c15:txfldGUID>
                      <c15:f>Clusters_1!$A$4</c15:f>
                      <c15:dlblFieldTableCache>
                        <c:ptCount val="1"/>
                        <c:pt idx="0">
                          <c:v> C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4935-4173-9423-7A6C2FD44A40}"/>
                </c:ext>
              </c:extLst>
            </c:dLbl>
            <c:dLbl>
              <c:idx val="3"/>
              <c:tx>
                <c:strRef>
                  <c:f>Clusters_1!$A$5</c:f>
                  <c:strCache>
                    <c:ptCount val="1"/>
                    <c:pt idx="0">
                      <c:v> D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{CE2353A3-B25C-4D35-A61A-257B21AD2E1B}</c15:txfldGUID>
                      <c15:f>Clusters_1!$A$5</c15:f>
                      <c15:dlblFieldTableCache>
                        <c:ptCount val="1"/>
                        <c:pt idx="0">
                          <c:v> D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935-4173-9423-7A6C2FD44A40}"/>
                </c:ext>
              </c:extLst>
            </c:dLbl>
            <c:dLbl>
              <c:idx val="4"/>
              <c:tx>
                <c:strRef>
                  <c:f>Clusters_1!$A$6</c:f>
                  <c:strCache>
                    <c:ptCount val="1"/>
                    <c:pt idx="0">
                      <c:v> E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{17E48C4A-7959-4869-988F-14EAE36E12BE}</c15:txfldGUID>
                      <c15:f>Clusters_1!$A$6</c15:f>
                      <c15:dlblFieldTableCache>
                        <c:ptCount val="1"/>
                        <c:pt idx="0">
                          <c:v> E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935-4173-9423-7A6C2FD44A40}"/>
                </c:ext>
              </c:extLst>
            </c:dLbl>
            <c:dLbl>
              <c:idx val="5"/>
              <c:tx>
                <c:strRef>
                  <c:f>Clusters_1!$A$7</c:f>
                  <c:strCache>
                    <c:ptCount val="1"/>
                    <c:pt idx="0">
                      <c:v> F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{C8C888DC-41C2-4863-B98A-1CE8F5415062}</c15:txfldGUID>
                      <c15:f>Clusters_1!$A$7</c15:f>
                      <c15:dlblFieldTableCache>
                        <c:ptCount val="1"/>
                        <c:pt idx="0">
                          <c:v> F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935-4173-9423-7A6C2FD44A40}"/>
                </c:ext>
              </c:extLst>
            </c:dLbl>
            <c:dLbl>
              <c:idx val="6"/>
              <c:tx>
                <c:strRef>
                  <c:f>Clusters_1!$A$8</c:f>
                  <c:strCache>
                    <c:ptCount val="1"/>
                    <c:pt idx="0">
                      <c:v> G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{F4EAE26D-4C90-4206-8C73-0BFF29330EEF}</c15:txfldGUID>
                      <c15:f>Clusters_1!$A$8</c15:f>
                      <c15:dlblFieldTableCache>
                        <c:ptCount val="1"/>
                        <c:pt idx="0">
                          <c:v> G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935-4173-9423-7A6C2FD44A40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Clusters_1!$B$2:$B$8</c:f>
              <c:numCache>
                <c:formatCode>#,##0.00</c:formatCode>
                <c:ptCount val="7"/>
                <c:pt idx="0">
                  <c:v>5</c:v>
                </c:pt>
                <c:pt idx="1">
                  <c:v>5</c:v>
                </c:pt>
                <c:pt idx="2">
                  <c:v>4.2928932188134521</c:v>
                </c:pt>
                <c:pt idx="3">
                  <c:v>3</c:v>
                </c:pt>
                <c:pt idx="4">
                  <c:v>3.25</c:v>
                </c:pt>
                <c:pt idx="5">
                  <c:v>3.5</c:v>
                </c:pt>
                <c:pt idx="6">
                  <c:v>2.7928932188134525</c:v>
                </c:pt>
              </c:numCache>
            </c:numRef>
          </c:xVal>
          <c:yVal>
            <c:numRef>
              <c:f>Clusters_1!$C$2:$C$8</c:f>
              <c:numCache>
                <c:formatCode>#,##0.00</c:formatCode>
                <c:ptCount val="7"/>
                <c:pt idx="0">
                  <c:v>4</c:v>
                </c:pt>
                <c:pt idx="1">
                  <c:v>3.5</c:v>
                </c:pt>
                <c:pt idx="2">
                  <c:v>3.2928932188134525</c:v>
                </c:pt>
                <c:pt idx="3">
                  <c:v>2.5</c:v>
                </c:pt>
                <c:pt idx="4">
                  <c:v>4.75</c:v>
                </c:pt>
                <c:pt idx="5">
                  <c:v>5.25</c:v>
                </c:pt>
                <c:pt idx="6">
                  <c:v>4.5428932188134521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35-4173-9423-7A6C2FD44A40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74603480"/>
        <c:axId val="474600736"/>
      </c:scatterChart>
      <c:valAx>
        <c:axId val="47460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Matériel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600736"/>
        <c:crosses val="autoZero"/>
        <c:crossBetween val="midCat"/>
      </c:valAx>
      <c:valAx>
        <c:axId val="47460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Main-d'oeuvre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034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10</xdr:row>
      <xdr:rowOff>426720</xdr:rowOff>
    </xdr:from>
    <xdr:to>
      <xdr:col>36</xdr:col>
      <xdr:colOff>845820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7620</xdr:colOff>
      <xdr:row>29</xdr:row>
      <xdr:rowOff>0</xdr:rowOff>
    </xdr:from>
    <xdr:to>
      <xdr:col>36</xdr:col>
      <xdr:colOff>845820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838200</xdr:colOff>
      <xdr:row>11</xdr:row>
      <xdr:rowOff>15240</xdr:rowOff>
    </xdr:from>
    <xdr:to>
      <xdr:col>44</xdr:col>
      <xdr:colOff>15240</xdr:colOff>
      <xdr:row>28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845820</xdr:colOff>
      <xdr:row>28</xdr:row>
      <xdr:rowOff>194310</xdr:rowOff>
    </xdr:from>
    <xdr:to>
      <xdr:col>44</xdr:col>
      <xdr:colOff>0</xdr:colOff>
      <xdr:row>46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640080</xdr:colOff>
      <xdr:row>6</xdr:row>
      <xdr:rowOff>53340</xdr:rowOff>
    </xdr:from>
    <xdr:to>
      <xdr:col>22</xdr:col>
      <xdr:colOff>624840</xdr:colOff>
      <xdr:row>32</xdr:row>
      <xdr:rowOff>45720</xdr:rowOff>
    </xdr:to>
    <xdr:graphicFrame macro="">
      <xdr:nvGraphicFramePr>
        <xdr:cNvPr id="2" name="Graphiqu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3810</xdr:rowOff>
    </xdr:from>
    <xdr:to>
      <xdr:col>16</xdr:col>
      <xdr:colOff>601980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14287</xdr:rowOff>
    </xdr:from>
    <xdr:to>
      <xdr:col>19</xdr:col>
      <xdr:colOff>19050</xdr:colOff>
      <xdr:row>33</xdr:row>
      <xdr:rowOff>9525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</xdr:row>
      <xdr:rowOff>7619</xdr:rowOff>
    </xdr:from>
    <xdr:to>
      <xdr:col>21</xdr:col>
      <xdr:colOff>9525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0" y="0"/>
          <a:ext cx="0" cy="0"/>
        </a:xfrm>
        <a:prstGeom prst="bentConnector3">
          <a:avLst>
            <a:gd name="adj1" fmla="val -5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236220</xdr:colOff>
      <xdr:row>0</xdr:row>
      <xdr:rowOff>0</xdr:rowOff>
    </xdr:to>
    <xdr:cxnSp macro="">
      <xdr:nvCxnSpPr>
        <xdr:cNvPr id="3" name="AutoShape 4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>
          <a:cxnSpLocks noChangeShapeType="1"/>
        </xdr:cNvCxnSpPr>
      </xdr:nvCxnSpPr>
      <xdr:spPr bwMode="auto">
        <a:xfrm>
          <a:off x="350520" y="0"/>
          <a:ext cx="1440180" cy="0"/>
        </a:xfrm>
        <a:prstGeom prst="bentConnector3">
          <a:avLst>
            <a:gd name="adj1" fmla="val 10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cxnSp macro="">
      <xdr:nvCxnSpPr>
        <xdr:cNvPr id="4" name="AutoShape 5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0" y="0"/>
          <a:ext cx="0" cy="0"/>
        </a:xfrm>
        <a:prstGeom prst="bentConnector3">
          <a:avLst>
            <a:gd name="adj1" fmla="val 49273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cxnSp macro="">
      <xdr:nvCxnSpPr>
        <xdr:cNvPr id="5" name="AutoShape 6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0" y="0"/>
          <a:ext cx="0" cy="0"/>
        </a:xfrm>
        <a:prstGeom prst="bentConnector3">
          <a:avLst>
            <a:gd name="adj1" fmla="val 4706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167640</xdr:colOff>
      <xdr:row>0</xdr:row>
      <xdr:rowOff>0</xdr:rowOff>
    </xdr:to>
    <xdr:cxnSp macro="">
      <xdr:nvCxnSpPr>
        <xdr:cNvPr id="6" name="AutoShape 7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>
          <a:cxnSpLocks noChangeShapeType="1"/>
        </xdr:cNvCxnSpPr>
      </xdr:nvCxnSpPr>
      <xdr:spPr bwMode="auto">
        <a:xfrm>
          <a:off x="0" y="0"/>
          <a:ext cx="167640" cy="0"/>
        </a:xfrm>
        <a:prstGeom prst="bentConnector3">
          <a:avLst>
            <a:gd name="adj1" fmla="val 49315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12</xdr:row>
      <xdr:rowOff>0</xdr:rowOff>
    </xdr:to>
    <xdr:sp macro="" textlink="">
      <xdr:nvSpPr>
        <xdr:cNvPr id="7" name="Rectangle 8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0" y="3352800"/>
          <a:ext cx="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M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12</xdr:row>
      <xdr:rowOff>0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0" y="3352800"/>
          <a:ext cx="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L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12</xdr:row>
      <xdr:rowOff>0</xdr:rowOff>
    </xdr:to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0" y="3352800"/>
          <a:ext cx="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N</a:t>
          </a: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sp macro="" textlink="">
      <xdr:nvSpPr>
        <xdr:cNvPr id="10" name="Rectangle 12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350520" y="3352800"/>
          <a:ext cx="426720" cy="304800"/>
        </a:xfrm>
        <a:prstGeom prst="rect">
          <a:avLst/>
        </a:prstGeom>
        <a:solidFill>
          <a:srgbClr val="FFCC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H</a:t>
          </a:r>
        </a:p>
      </xdr:txBody>
    </xdr:sp>
    <xdr:clientData/>
  </xdr:twoCellAnchor>
  <xdr:twoCellAnchor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" name="Rectangle 13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905000" y="3352800"/>
          <a:ext cx="426720" cy="30480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I</a:t>
          </a:r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19</xdr:col>
      <xdr:colOff>0</xdr:colOff>
      <xdr:row>12</xdr:row>
      <xdr:rowOff>0</xdr:rowOff>
    </xdr:to>
    <xdr:sp macro="" textlink="">
      <xdr:nvSpPr>
        <xdr:cNvPr id="12" name="Rectangle 15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7299960" y="3352800"/>
          <a:ext cx="426720" cy="30480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M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3" name="Rectangle 16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0" y="2438400"/>
          <a:ext cx="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F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9</xdr:row>
      <xdr:rowOff>0</xdr:rowOff>
    </xdr:to>
    <xdr:sp macro="" textlink="">
      <xdr:nvSpPr>
        <xdr:cNvPr id="14" name="Rectangle 17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127760" y="2438400"/>
          <a:ext cx="426720" cy="304800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F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15" name="Rectangle 18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3032760" y="2438400"/>
          <a:ext cx="426720" cy="304800"/>
        </a:xfrm>
        <a:prstGeom prst="rect">
          <a:avLst/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G</a:t>
          </a: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0</xdr:colOff>
      <xdr:row>9</xdr:row>
      <xdr:rowOff>0</xdr:rowOff>
    </xdr:to>
    <xdr:sp macro="" textlink="">
      <xdr:nvSpPr>
        <xdr:cNvPr id="16" name="Rectangle 19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>
          <a:spLocks noChangeArrowheads="1"/>
        </xdr:cNvSpPr>
      </xdr:nvSpPr>
      <xdr:spPr bwMode="auto">
        <a:xfrm>
          <a:off x="4312920" y="2438400"/>
          <a:ext cx="426720" cy="304800"/>
        </a:xfrm>
        <a:prstGeom prst="rec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J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16</xdr:col>
      <xdr:colOff>0</xdr:colOff>
      <xdr:row>9</xdr:row>
      <xdr:rowOff>0</xdr:rowOff>
    </xdr:to>
    <xdr:sp macro="" textlink="">
      <xdr:nvSpPr>
        <xdr:cNvPr id="17" name="Rectangle 20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>
          <a:spLocks noChangeArrowheads="1"/>
        </xdr:cNvSpPr>
      </xdr:nvSpPr>
      <xdr:spPr bwMode="auto">
        <a:xfrm>
          <a:off x="6019800" y="2438400"/>
          <a:ext cx="426720" cy="30480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K</a:t>
          </a:r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19</xdr:col>
      <xdr:colOff>0</xdr:colOff>
      <xdr:row>9</xdr:row>
      <xdr:rowOff>0</xdr:rowOff>
    </xdr:to>
    <xdr:sp macro="" textlink="">
      <xdr:nvSpPr>
        <xdr:cNvPr id="18" name="Rectangle 21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>
          <a:spLocks noChangeArrowheads="1"/>
        </xdr:cNvSpPr>
      </xdr:nvSpPr>
      <xdr:spPr bwMode="auto">
        <a:xfrm>
          <a:off x="7299960" y="2438400"/>
          <a:ext cx="426720" cy="304800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L</a:t>
          </a:r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19" name="Rectangle 22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>
          <a:spLocks noChangeArrowheads="1"/>
        </xdr:cNvSpPr>
      </xdr:nvSpPr>
      <xdr:spPr bwMode="auto">
        <a:xfrm>
          <a:off x="1905000" y="1524000"/>
          <a:ext cx="426720" cy="304800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B</a:t>
          </a:r>
        </a:p>
      </xdr:txBody>
    </xdr:sp>
    <xdr:clientData/>
  </xdr:twoCellAnchor>
  <xdr:twoCellAnchor>
    <xdr:from>
      <xdr:col>13</xdr:col>
      <xdr:colOff>0</xdr:colOff>
      <xdr:row>5</xdr:row>
      <xdr:rowOff>0</xdr:rowOff>
    </xdr:from>
    <xdr:to>
      <xdr:col>14</xdr:col>
      <xdr:colOff>0</xdr:colOff>
      <xdr:row>6</xdr:row>
      <xdr:rowOff>0</xdr:rowOff>
    </xdr:to>
    <xdr:sp macro="" textlink="">
      <xdr:nvSpPr>
        <xdr:cNvPr id="20" name="Rectangle 23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>
          <a:spLocks noChangeArrowheads="1"/>
        </xdr:cNvSpPr>
      </xdr:nvSpPr>
      <xdr:spPr bwMode="auto">
        <a:xfrm>
          <a:off x="5166360" y="1524000"/>
          <a:ext cx="426720" cy="304800"/>
        </a:xfrm>
        <a:prstGeom prst="rect">
          <a:avLst/>
        </a:prstGeom>
        <a:solidFill>
          <a:srgbClr val="33CC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C</a:t>
          </a:r>
        </a:p>
      </xdr:txBody>
    </xdr:sp>
    <xdr:clientData/>
  </xdr:twoCellAnchor>
  <xdr:twoCellAnchor>
    <xdr:from>
      <xdr:col>18</xdr:col>
      <xdr:colOff>0</xdr:colOff>
      <xdr:row>5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21" name="Rectangle 24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>
          <a:spLocks noChangeArrowheads="1"/>
        </xdr:cNvSpPr>
      </xdr:nvSpPr>
      <xdr:spPr bwMode="auto">
        <a:xfrm>
          <a:off x="7299960" y="1524000"/>
          <a:ext cx="426720" cy="304800"/>
        </a:xfrm>
        <a:prstGeom prst="rect">
          <a:avLst/>
        </a:prstGeom>
        <a:solidFill>
          <a:srgbClr val="339966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D</a:t>
          </a:r>
        </a:p>
      </xdr:txBody>
    </xdr:sp>
    <xdr:clientData/>
  </xdr:twoCellAnchor>
  <xdr:twoCellAnchor>
    <xdr:from>
      <xdr:col>21</xdr:col>
      <xdr:colOff>0</xdr:colOff>
      <xdr:row>5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2" name="Rectangle 25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>
          <a:spLocks noChangeArrowheads="1"/>
        </xdr:cNvSpPr>
      </xdr:nvSpPr>
      <xdr:spPr bwMode="auto">
        <a:xfrm>
          <a:off x="8580120" y="1524000"/>
          <a:ext cx="426720" cy="3048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E</a:t>
          </a:r>
        </a:p>
      </xdr:txBody>
    </xdr:sp>
    <xdr:clientData/>
  </xdr:twoCellAnchor>
  <xdr:twoCellAnchor>
    <xdr:from>
      <xdr:col>8</xdr:col>
      <xdr:colOff>0</xdr:colOff>
      <xdr:row>2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23" name="Rectangle 26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>
          <a:spLocks noChangeArrowheads="1"/>
        </xdr:cNvSpPr>
      </xdr:nvSpPr>
      <xdr:spPr bwMode="auto">
        <a:xfrm>
          <a:off x="3032760" y="609600"/>
          <a:ext cx="426720" cy="304800"/>
        </a:xfrm>
        <a:prstGeom prst="rect">
          <a:avLst/>
        </a:prstGeom>
        <a:solidFill>
          <a:srgbClr val="CC99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A</a:t>
          </a:r>
        </a:p>
      </xdr:txBody>
    </xdr:sp>
    <xdr:clientData/>
  </xdr:twoCellAnchor>
  <xdr:twoCellAnchor>
    <xdr:from>
      <xdr:col>0</xdr:col>
      <xdr:colOff>0</xdr:colOff>
      <xdr:row>8</xdr:row>
      <xdr:rowOff>152400</xdr:rowOff>
    </xdr:from>
    <xdr:to>
      <xdr:col>0</xdr:col>
      <xdr:colOff>0</xdr:colOff>
      <xdr:row>11</xdr:row>
      <xdr:rowOff>0</xdr:rowOff>
    </xdr:to>
    <xdr:cxnSp macro="">
      <xdr:nvCxnSpPr>
        <xdr:cNvPr id="24" name="AutoShape 27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CxnSpPr>
          <a:cxnSpLocks noChangeShapeType="1"/>
          <a:stCxn id="13" idx="1"/>
          <a:endCxn id="8" idx="0"/>
        </xdr:cNvCxnSpPr>
      </xdr:nvCxnSpPr>
      <xdr:spPr bwMode="auto">
        <a:xfrm rot="10800000" flipV="1">
          <a:off x="0" y="2590800"/>
          <a:ext cx="0" cy="7620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11</xdr:row>
      <xdr:rowOff>0</xdr:rowOff>
    </xdr:to>
    <xdr:cxnSp macro="">
      <xdr:nvCxnSpPr>
        <xdr:cNvPr id="25" name="AutoShape 28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CxnSpPr>
          <a:cxnSpLocks noChangeShapeType="1"/>
          <a:stCxn id="13" idx="2"/>
          <a:endCxn id="7" idx="0"/>
        </xdr:cNvCxnSpPr>
      </xdr:nvCxnSpPr>
      <xdr:spPr bwMode="auto">
        <a:xfrm rot="5400000">
          <a:off x="-304800" y="3048000"/>
          <a:ext cx="6096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8</xdr:row>
      <xdr:rowOff>121920</xdr:rowOff>
    </xdr:from>
    <xdr:to>
      <xdr:col>0</xdr:col>
      <xdr:colOff>0</xdr:colOff>
      <xdr:row>11</xdr:row>
      <xdr:rowOff>0</xdr:rowOff>
    </xdr:to>
    <xdr:cxnSp macro="">
      <xdr:nvCxnSpPr>
        <xdr:cNvPr id="26" name="AutoShape 29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CxnSpPr>
          <a:cxnSpLocks noChangeShapeType="1"/>
          <a:stCxn id="13" idx="3"/>
          <a:endCxn id="9" idx="0"/>
        </xdr:cNvCxnSpPr>
      </xdr:nvCxnSpPr>
      <xdr:spPr bwMode="auto">
        <a:xfrm>
          <a:off x="0" y="2560320"/>
          <a:ext cx="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220980</xdr:colOff>
      <xdr:row>2</xdr:row>
      <xdr:rowOff>152400</xdr:rowOff>
    </xdr:from>
    <xdr:to>
      <xdr:col>8</xdr:col>
      <xdr:colOff>0</xdr:colOff>
      <xdr:row>5</xdr:row>
      <xdr:rowOff>0</xdr:rowOff>
    </xdr:to>
    <xdr:cxnSp macro="">
      <xdr:nvCxnSpPr>
        <xdr:cNvPr id="27" name="AutoShape 30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CxnSpPr>
          <a:cxnSpLocks noChangeShapeType="1"/>
          <a:stCxn id="23" idx="1"/>
          <a:endCxn id="19" idx="0"/>
        </xdr:cNvCxnSpPr>
      </xdr:nvCxnSpPr>
      <xdr:spPr bwMode="auto">
        <a:xfrm rot="10800000" flipV="1">
          <a:off x="2125980" y="762000"/>
          <a:ext cx="906780" cy="7620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</xdr:row>
      <xdr:rowOff>121920</xdr:rowOff>
    </xdr:from>
    <xdr:to>
      <xdr:col>21</xdr:col>
      <xdr:colOff>220980</xdr:colOff>
      <xdr:row>5</xdr:row>
      <xdr:rowOff>0</xdr:rowOff>
    </xdr:to>
    <xdr:cxnSp macro="">
      <xdr:nvCxnSpPr>
        <xdr:cNvPr id="28" name="AutoShape 31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CxnSpPr>
          <a:cxnSpLocks noChangeShapeType="1"/>
          <a:stCxn id="23" idx="3"/>
          <a:endCxn id="22" idx="0"/>
        </xdr:cNvCxnSpPr>
      </xdr:nvCxnSpPr>
      <xdr:spPr bwMode="auto">
        <a:xfrm>
          <a:off x="3459480" y="731520"/>
          <a:ext cx="534162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</xdr:row>
      <xdr:rowOff>121920</xdr:rowOff>
    </xdr:from>
    <xdr:to>
      <xdr:col>18</xdr:col>
      <xdr:colOff>220980</xdr:colOff>
      <xdr:row>5</xdr:row>
      <xdr:rowOff>0</xdr:rowOff>
    </xdr:to>
    <xdr:cxnSp macro="">
      <xdr:nvCxnSpPr>
        <xdr:cNvPr id="29" name="AutoShape 32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CxnSpPr>
          <a:cxnSpLocks noChangeShapeType="1"/>
          <a:stCxn id="23" idx="3"/>
          <a:endCxn id="21" idx="0"/>
        </xdr:cNvCxnSpPr>
      </xdr:nvCxnSpPr>
      <xdr:spPr bwMode="auto">
        <a:xfrm>
          <a:off x="3459480" y="731520"/>
          <a:ext cx="406146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</xdr:row>
      <xdr:rowOff>121920</xdr:rowOff>
    </xdr:from>
    <xdr:to>
      <xdr:col>13</xdr:col>
      <xdr:colOff>220980</xdr:colOff>
      <xdr:row>5</xdr:row>
      <xdr:rowOff>0</xdr:rowOff>
    </xdr:to>
    <xdr:cxnSp macro="">
      <xdr:nvCxnSpPr>
        <xdr:cNvPr id="30" name="AutoShape 33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CxnSpPr>
          <a:cxnSpLocks noChangeShapeType="1"/>
          <a:stCxn id="23" idx="3"/>
          <a:endCxn id="20" idx="0"/>
        </xdr:cNvCxnSpPr>
      </xdr:nvCxnSpPr>
      <xdr:spPr bwMode="auto">
        <a:xfrm>
          <a:off x="3459480" y="731520"/>
          <a:ext cx="192786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220980</xdr:colOff>
      <xdr:row>5</xdr:row>
      <xdr:rowOff>152400</xdr:rowOff>
    </xdr:from>
    <xdr:to>
      <xdr:col>5</xdr:col>
      <xdr:colOff>0</xdr:colOff>
      <xdr:row>8</xdr:row>
      <xdr:rowOff>0</xdr:rowOff>
    </xdr:to>
    <xdr:cxnSp macro="">
      <xdr:nvCxnSpPr>
        <xdr:cNvPr id="31" name="AutoShape 35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CxnSpPr>
          <a:cxnSpLocks noChangeShapeType="1"/>
          <a:stCxn id="19" idx="1"/>
          <a:endCxn id="14" idx="0"/>
        </xdr:cNvCxnSpPr>
      </xdr:nvCxnSpPr>
      <xdr:spPr bwMode="auto">
        <a:xfrm rot="10800000" flipV="1">
          <a:off x="1348740" y="1676400"/>
          <a:ext cx="556260" cy="7620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220980</xdr:colOff>
      <xdr:row>8</xdr:row>
      <xdr:rowOff>121920</xdr:rowOff>
    </xdr:from>
    <xdr:to>
      <xdr:col>3</xdr:col>
      <xdr:colOff>0</xdr:colOff>
      <xdr:row>11</xdr:row>
      <xdr:rowOff>0</xdr:rowOff>
    </xdr:to>
    <xdr:cxnSp macro="">
      <xdr:nvCxnSpPr>
        <xdr:cNvPr id="32" name="AutoShape 36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CxnSpPr>
          <a:cxnSpLocks noChangeShapeType="1"/>
          <a:stCxn id="14" idx="1"/>
          <a:endCxn id="10" idx="0"/>
        </xdr:cNvCxnSpPr>
      </xdr:nvCxnSpPr>
      <xdr:spPr bwMode="auto">
        <a:xfrm rot="10800000" flipV="1">
          <a:off x="571500" y="2560320"/>
          <a:ext cx="55626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8</xdr:row>
      <xdr:rowOff>121920</xdr:rowOff>
    </xdr:from>
    <xdr:to>
      <xdr:col>5</xdr:col>
      <xdr:colOff>220980</xdr:colOff>
      <xdr:row>11</xdr:row>
      <xdr:rowOff>0</xdr:rowOff>
    </xdr:to>
    <xdr:cxnSp macro="">
      <xdr:nvCxnSpPr>
        <xdr:cNvPr id="33" name="AutoShape 37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CxnSpPr>
          <a:cxnSpLocks noChangeShapeType="1"/>
          <a:stCxn id="14" idx="3"/>
          <a:endCxn id="11" idx="0"/>
        </xdr:cNvCxnSpPr>
      </xdr:nvCxnSpPr>
      <xdr:spPr bwMode="auto">
        <a:xfrm>
          <a:off x="1554480" y="2560320"/>
          <a:ext cx="57150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</xdr:row>
      <xdr:rowOff>152400</xdr:rowOff>
    </xdr:from>
    <xdr:to>
      <xdr:col>8</xdr:col>
      <xdr:colOff>220980</xdr:colOff>
      <xdr:row>8</xdr:row>
      <xdr:rowOff>0</xdr:rowOff>
    </xdr:to>
    <xdr:cxnSp macro="">
      <xdr:nvCxnSpPr>
        <xdr:cNvPr id="34" name="AutoShape 38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CxnSpPr>
          <a:cxnSpLocks noChangeShapeType="1"/>
          <a:stCxn id="19" idx="3"/>
          <a:endCxn id="15" idx="0"/>
        </xdr:cNvCxnSpPr>
      </xdr:nvCxnSpPr>
      <xdr:spPr bwMode="auto">
        <a:xfrm>
          <a:off x="2331720" y="1676400"/>
          <a:ext cx="922020" cy="7620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220980</xdr:colOff>
      <xdr:row>5</xdr:row>
      <xdr:rowOff>121920</xdr:rowOff>
    </xdr:from>
    <xdr:to>
      <xdr:col>13</xdr:col>
      <xdr:colOff>0</xdr:colOff>
      <xdr:row>8</xdr:row>
      <xdr:rowOff>0</xdr:rowOff>
    </xdr:to>
    <xdr:cxnSp macro="">
      <xdr:nvCxnSpPr>
        <xdr:cNvPr id="35" name="AutoShape 40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CxnSpPr>
          <a:cxnSpLocks noChangeShapeType="1"/>
          <a:stCxn id="20" idx="1"/>
          <a:endCxn id="16" idx="0"/>
        </xdr:cNvCxnSpPr>
      </xdr:nvCxnSpPr>
      <xdr:spPr bwMode="auto">
        <a:xfrm rot="10800000" flipV="1">
          <a:off x="4533900" y="1645920"/>
          <a:ext cx="63246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</xdr:row>
      <xdr:rowOff>121920</xdr:rowOff>
    </xdr:from>
    <xdr:to>
      <xdr:col>15</xdr:col>
      <xdr:colOff>220980</xdr:colOff>
      <xdr:row>8</xdr:row>
      <xdr:rowOff>0</xdr:rowOff>
    </xdr:to>
    <xdr:cxnSp macro="">
      <xdr:nvCxnSpPr>
        <xdr:cNvPr id="36" name="AutoShape 41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CxnSpPr>
          <a:cxnSpLocks noChangeShapeType="1"/>
          <a:stCxn id="20" idx="3"/>
          <a:endCxn id="17" idx="0"/>
        </xdr:cNvCxnSpPr>
      </xdr:nvCxnSpPr>
      <xdr:spPr bwMode="auto">
        <a:xfrm>
          <a:off x="5593080" y="1645920"/>
          <a:ext cx="647700" cy="79248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220980</xdr:colOff>
      <xdr:row>6</xdr:row>
      <xdr:rowOff>0</xdr:rowOff>
    </xdr:from>
    <xdr:to>
      <xdr:col>18</xdr:col>
      <xdr:colOff>220980</xdr:colOff>
      <xdr:row>8</xdr:row>
      <xdr:rowOff>0</xdr:rowOff>
    </xdr:to>
    <xdr:cxnSp macro="">
      <xdr:nvCxnSpPr>
        <xdr:cNvPr id="37" name="AutoShape 42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CxnSpPr>
          <a:cxnSpLocks noChangeShapeType="1"/>
          <a:stCxn id="21" idx="2"/>
          <a:endCxn id="18" idx="0"/>
        </xdr:cNvCxnSpPr>
      </xdr:nvCxnSpPr>
      <xdr:spPr bwMode="auto">
        <a:xfrm rot="5400000">
          <a:off x="7216140" y="2133600"/>
          <a:ext cx="6096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220980</xdr:colOff>
      <xdr:row>9</xdr:row>
      <xdr:rowOff>0</xdr:rowOff>
    </xdr:from>
    <xdr:to>
      <xdr:col>18</xdr:col>
      <xdr:colOff>220980</xdr:colOff>
      <xdr:row>11</xdr:row>
      <xdr:rowOff>0</xdr:rowOff>
    </xdr:to>
    <xdr:cxnSp macro="">
      <xdr:nvCxnSpPr>
        <xdr:cNvPr id="38" name="AutoShape 43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CxnSpPr>
          <a:cxnSpLocks noChangeShapeType="1"/>
          <a:stCxn id="18" idx="2"/>
          <a:endCxn id="12" idx="0"/>
        </xdr:cNvCxnSpPr>
      </xdr:nvCxnSpPr>
      <xdr:spPr bwMode="auto">
        <a:xfrm rot="5400000">
          <a:off x="7216140" y="3048000"/>
          <a:ext cx="6096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257175</xdr:colOff>
      <xdr:row>0</xdr:row>
      <xdr:rowOff>295275</xdr:rowOff>
    </xdr:to>
    <xdr:sp macro="" textlink="">
      <xdr:nvSpPr>
        <xdr:cNvPr id="39" name="Text Box 45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264015" cy="29527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41148" rIns="36576" bIns="41148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omic Sans MS"/>
            </a:rPr>
            <a:t>TREE - The nodes are unique</a:t>
          </a:r>
        </a:p>
      </xdr:txBody>
    </xdr:sp>
    <xdr:clientData/>
  </xdr:twoCellAnchor>
  <xdr:twoCellAnchor>
    <xdr:from>
      <xdr:col>24</xdr:col>
      <xdr:colOff>1</xdr:colOff>
      <xdr:row>0</xdr:row>
      <xdr:rowOff>176579</xdr:rowOff>
    </xdr:from>
    <xdr:to>
      <xdr:col>25</xdr:col>
      <xdr:colOff>607732</xdr:colOff>
      <xdr:row>1</xdr:row>
      <xdr:rowOff>243415</xdr:rowOff>
    </xdr:to>
    <xdr:sp macro="" textlink="">
      <xdr:nvSpPr>
        <xdr:cNvPr id="40" name="AutoShape 46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>
          <a:spLocks noChangeArrowheads="1"/>
        </xdr:cNvSpPr>
      </xdr:nvSpPr>
      <xdr:spPr bwMode="auto">
        <a:xfrm>
          <a:off x="10043161" y="176579"/>
          <a:ext cx="1217331" cy="371636"/>
        </a:xfrm>
        <a:prstGeom prst="downArrowCallout">
          <a:avLst>
            <a:gd name="adj1" fmla="val 38125"/>
            <a:gd name="adj2" fmla="val 38125"/>
            <a:gd name="adj3" fmla="val 16667"/>
            <a:gd name="adj4" fmla="val 6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omic Sans MS"/>
            </a:rPr>
            <a:t>Key</a:t>
          </a:r>
        </a:p>
      </xdr:txBody>
    </xdr:sp>
    <xdr:clientData/>
  </xdr:twoCellAnchor>
  <xdr:twoCellAnchor>
    <xdr:from>
      <xdr:col>23</xdr:col>
      <xdr:colOff>64770</xdr:colOff>
      <xdr:row>2</xdr:row>
      <xdr:rowOff>285750</xdr:rowOff>
    </xdr:from>
    <xdr:to>
      <xdr:col>23</xdr:col>
      <xdr:colOff>567926</xdr:colOff>
      <xdr:row>4</xdr:row>
      <xdr:rowOff>48238</xdr:rowOff>
    </xdr:to>
    <xdr:sp macro="" textlink="">
      <xdr:nvSpPr>
        <xdr:cNvPr id="41" name="AutoShape 47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>
          <a:spLocks noChangeArrowheads="1"/>
        </xdr:cNvSpPr>
      </xdr:nvSpPr>
      <xdr:spPr bwMode="auto">
        <a:xfrm>
          <a:off x="9498330" y="895350"/>
          <a:ext cx="503156" cy="372088"/>
        </a:xfrm>
        <a:prstGeom prst="rightArrow">
          <a:avLst>
            <a:gd name="adj1" fmla="val 50000"/>
            <a:gd name="adj2" fmla="val 3231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omic Sans MS"/>
            </a:rPr>
            <a:t>Root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G7"/>
  <sheetViews>
    <sheetView workbookViewId="0">
      <selection activeCell="G4" sqref="G4"/>
    </sheetView>
  </sheetViews>
  <sheetFormatPr defaultColWidth="11.5703125" defaultRowHeight="15"/>
  <sheetData>
    <row r="1" spans="1:7">
      <c r="A1" t="s">
        <v>246</v>
      </c>
      <c r="B1" t="s">
        <v>247</v>
      </c>
      <c r="C1" t="s">
        <v>248</v>
      </c>
    </row>
    <row r="2" spans="1:7">
      <c r="A2">
        <v>1</v>
      </c>
      <c r="B2">
        <f ca="1">RAND()*1000</f>
        <v>398.86578887029111</v>
      </c>
      <c r="C2">
        <v>1</v>
      </c>
      <c r="E2">
        <v>1</v>
      </c>
      <c r="F2" t="s">
        <v>249</v>
      </c>
      <c r="G2">
        <f ca="1">SUMIF($C$2:$C$7,E2,$B$2:$B$7)</f>
        <v>999.80679226219388</v>
      </c>
    </row>
    <row r="3" spans="1:7">
      <c r="A3">
        <v>2</v>
      </c>
      <c r="B3">
        <f t="shared" ref="B3:B7" ca="1" si="0">RAND()*1000</f>
        <v>394.94678938146888</v>
      </c>
      <c r="C3">
        <v>2</v>
      </c>
      <c r="E3">
        <v>2</v>
      </c>
      <c r="F3" t="s">
        <v>250</v>
      </c>
      <c r="G3">
        <f ca="1">SUMIF($C$2:$C$7,E3,$B$2:$B$7)</f>
        <v>1218.7883838855578</v>
      </c>
    </row>
    <row r="4" spans="1:7">
      <c r="A4">
        <v>3</v>
      </c>
      <c r="B4">
        <f t="shared" ca="1" si="0"/>
        <v>39.970361093512821</v>
      </c>
      <c r="C4">
        <v>1</v>
      </c>
    </row>
    <row r="5" spans="1:7">
      <c r="A5">
        <v>4</v>
      </c>
      <c r="B5">
        <f t="shared" ca="1" si="0"/>
        <v>462.21905833464558</v>
      </c>
      <c r="C5">
        <v>2</v>
      </c>
    </row>
    <row r="6" spans="1:7">
      <c r="A6">
        <v>5</v>
      </c>
      <c r="B6">
        <f t="shared" ca="1" si="0"/>
        <v>361.62253616944315</v>
      </c>
      <c r="C6">
        <v>2</v>
      </c>
    </row>
    <row r="7" spans="1:7">
      <c r="A7">
        <v>6</v>
      </c>
      <c r="B7">
        <f t="shared" ca="1" si="0"/>
        <v>560.97064229838998</v>
      </c>
      <c r="C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B65"/>
  <sheetViews>
    <sheetView workbookViewId="0">
      <pane ySplit="1" topLeftCell="A2" activePane="bottomLeft" state="frozen"/>
      <selection pane="bottomLeft" activeCell="A2" sqref="A2"/>
    </sheetView>
  </sheetViews>
  <sheetFormatPr defaultColWidth="11.5703125" defaultRowHeight="15"/>
  <cols>
    <col min="1" max="1" width="5.7109375" style="92" customWidth="1"/>
    <col min="2" max="2" width="100.7109375" customWidth="1"/>
  </cols>
  <sheetData>
    <row r="1" spans="1:2">
      <c r="A1" s="108" t="s">
        <v>127</v>
      </c>
      <c r="B1" s="108" t="s">
        <v>5</v>
      </c>
    </row>
    <row r="2" spans="1:2">
      <c r="A2" s="92">
        <v>1</v>
      </c>
      <c r="B2" t="s">
        <v>191</v>
      </c>
    </row>
    <row r="3" spans="1:2">
      <c r="B3" s="111" t="s">
        <v>199</v>
      </c>
    </row>
    <row r="4" spans="1:2">
      <c r="B4" s="111" t="s">
        <v>200</v>
      </c>
    </row>
    <row r="5" spans="1:2">
      <c r="B5" s="111" t="s">
        <v>201</v>
      </c>
    </row>
    <row r="7" spans="1:2">
      <c r="A7" s="92">
        <v>2</v>
      </c>
      <c r="B7" s="110" t="s">
        <v>194</v>
      </c>
    </row>
    <row r="8" spans="1:2">
      <c r="B8" s="111" t="s">
        <v>244</v>
      </c>
    </row>
    <row r="9" spans="1:2">
      <c r="B9" s="111" t="s">
        <v>202</v>
      </c>
    </row>
    <row r="10" spans="1:2">
      <c r="B10" s="111" t="s">
        <v>203</v>
      </c>
    </row>
    <row r="11" spans="1:2">
      <c r="B11" s="111" t="s">
        <v>233</v>
      </c>
    </row>
    <row r="12" spans="1:2">
      <c r="B12" s="112" t="s">
        <v>234</v>
      </c>
    </row>
    <row r="14" spans="1:2">
      <c r="A14" s="92">
        <v>3</v>
      </c>
      <c r="B14" s="110" t="s">
        <v>192</v>
      </c>
    </row>
    <row r="15" spans="1:2">
      <c r="B15" s="111" t="s">
        <v>235</v>
      </c>
    </row>
    <row r="17" spans="1:2">
      <c r="A17" s="92">
        <v>4</v>
      </c>
      <c r="B17" s="110" t="s">
        <v>195</v>
      </c>
    </row>
    <row r="18" spans="1:2">
      <c r="B18" s="111" t="s">
        <v>204</v>
      </c>
    </row>
    <row r="19" spans="1:2">
      <c r="B19" s="111" t="s">
        <v>205</v>
      </c>
    </row>
    <row r="20" spans="1:2">
      <c r="B20" s="111" t="s">
        <v>206</v>
      </c>
    </row>
    <row r="21" spans="1:2">
      <c r="B21" s="111" t="s">
        <v>207</v>
      </c>
    </row>
    <row r="22" spans="1:2">
      <c r="B22" s="109"/>
    </row>
    <row r="23" spans="1:2">
      <c r="A23" s="92">
        <v>5</v>
      </c>
      <c r="B23" s="110" t="s">
        <v>196</v>
      </c>
    </row>
    <row r="24" spans="1:2">
      <c r="B24" s="111" t="s">
        <v>208</v>
      </c>
    </row>
    <row r="25" spans="1:2">
      <c r="B25" s="111" t="s">
        <v>209</v>
      </c>
    </row>
    <row r="27" spans="1:2">
      <c r="A27" s="92">
        <v>6</v>
      </c>
      <c r="B27" s="110" t="s">
        <v>197</v>
      </c>
    </row>
    <row r="28" spans="1:2">
      <c r="B28" s="111" t="s">
        <v>210</v>
      </c>
    </row>
    <row r="29" spans="1:2">
      <c r="B29" s="111" t="s">
        <v>211</v>
      </c>
    </row>
    <row r="30" spans="1:2">
      <c r="B30" s="111" t="s">
        <v>212</v>
      </c>
    </row>
    <row r="32" spans="1:2">
      <c r="A32" s="92">
        <v>7</v>
      </c>
      <c r="B32" s="110" t="s">
        <v>193</v>
      </c>
    </row>
    <row r="33" spans="2:2">
      <c r="B33" s="111" t="s">
        <v>223</v>
      </c>
    </row>
    <row r="34" spans="2:2">
      <c r="B34" s="112" t="s">
        <v>224</v>
      </c>
    </row>
    <row r="35" spans="2:2">
      <c r="B35" s="111" t="s">
        <v>213</v>
      </c>
    </row>
    <row r="36" spans="2:2">
      <c r="B36" s="111" t="s">
        <v>214</v>
      </c>
    </row>
    <row r="37" spans="2:2">
      <c r="B37" s="112" t="s">
        <v>215</v>
      </c>
    </row>
    <row r="38" spans="2:2">
      <c r="B38" s="112" t="s">
        <v>216</v>
      </c>
    </row>
    <row r="39" spans="2:2">
      <c r="B39" s="112" t="s">
        <v>217</v>
      </c>
    </row>
    <row r="40" spans="2:2">
      <c r="B40" s="111" t="s">
        <v>218</v>
      </c>
    </row>
    <row r="41" spans="2:2">
      <c r="B41" s="112" t="s">
        <v>238</v>
      </c>
    </row>
    <row r="42" spans="2:2">
      <c r="B42" s="111" t="s">
        <v>219</v>
      </c>
    </row>
    <row r="43" spans="2:2">
      <c r="B43" s="112" t="s">
        <v>239</v>
      </c>
    </row>
    <row r="44" spans="2:2">
      <c r="B44" s="111" t="s">
        <v>240</v>
      </c>
    </row>
    <row r="45" spans="2:2">
      <c r="B45" s="112" t="s">
        <v>241</v>
      </c>
    </row>
    <row r="46" spans="2:2">
      <c r="B46" s="112" t="s">
        <v>242</v>
      </c>
    </row>
    <row r="47" spans="2:2">
      <c r="B47" s="112" t="s">
        <v>243</v>
      </c>
    </row>
    <row r="48" spans="2:2">
      <c r="B48" s="111"/>
    </row>
    <row r="49" spans="1:2">
      <c r="A49" s="92">
        <v>8</v>
      </c>
      <c r="B49" s="110" t="s">
        <v>225</v>
      </c>
    </row>
    <row r="50" spans="1:2">
      <c r="B50" s="111" t="s">
        <v>226</v>
      </c>
    </row>
    <row r="51" spans="1:2">
      <c r="B51" s="111" t="s">
        <v>245</v>
      </c>
    </row>
    <row r="52" spans="1:2">
      <c r="B52" s="109"/>
    </row>
    <row r="53" spans="1:2">
      <c r="A53" s="92">
        <v>9</v>
      </c>
      <c r="B53" s="110" t="s">
        <v>198</v>
      </c>
    </row>
    <row r="54" spans="1:2">
      <c r="B54" s="111" t="s">
        <v>220</v>
      </c>
    </row>
    <row r="55" spans="1:2">
      <c r="B55" s="111" t="s">
        <v>221</v>
      </c>
    </row>
    <row r="56" spans="1:2">
      <c r="B56" s="111" t="s">
        <v>222</v>
      </c>
    </row>
    <row r="58" spans="1:2">
      <c r="A58" s="92">
        <v>10</v>
      </c>
      <c r="B58" s="110" t="s">
        <v>236</v>
      </c>
    </row>
    <row r="59" spans="1:2">
      <c r="B59" s="111" t="s">
        <v>229</v>
      </c>
    </row>
    <row r="60" spans="1:2">
      <c r="B60" s="112" t="s">
        <v>228</v>
      </c>
    </row>
    <row r="61" spans="1:2">
      <c r="B61" s="111" t="s">
        <v>230</v>
      </c>
    </row>
    <row r="62" spans="1:2">
      <c r="B62" s="112" t="s">
        <v>231</v>
      </c>
    </row>
    <row r="63" spans="1:2">
      <c r="B63" s="112" t="s">
        <v>232</v>
      </c>
    </row>
    <row r="64" spans="1:2">
      <c r="B64" s="111" t="s">
        <v>227</v>
      </c>
    </row>
    <row r="65" spans="2:2">
      <c r="B65" s="112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6"/>
  <dimension ref="A1:AF43"/>
  <sheetViews>
    <sheetView topLeftCell="A3" workbookViewId="0">
      <selection activeCell="I13" sqref="I13"/>
    </sheetView>
  </sheetViews>
  <sheetFormatPr defaultColWidth="12.42578125" defaultRowHeight="15"/>
  <cols>
    <col min="1" max="1" width="4" style="3" customWidth="1"/>
    <col min="2" max="3" width="11.28515625" style="3" hidden="1" customWidth="1"/>
    <col min="4" max="4" width="12.42578125" style="3" hidden="1" customWidth="1"/>
    <col min="5" max="5" width="12.42578125" style="3" customWidth="1"/>
    <col min="6" max="12" width="12.85546875" style="3" customWidth="1"/>
    <col min="13" max="13" width="5.7109375" style="3" customWidth="1"/>
    <col min="14" max="15" width="14.85546875" style="3" customWidth="1"/>
    <col min="16" max="16" width="12.42578125" style="3" customWidth="1"/>
    <col min="17" max="22" width="12.42578125" style="3"/>
    <col min="23" max="23" width="5.7109375" style="3" customWidth="1"/>
    <col min="24" max="255" width="12.42578125" style="3"/>
    <col min="256" max="256" width="4" style="3" customWidth="1"/>
    <col min="257" max="258" width="11.28515625" style="3" customWidth="1"/>
    <col min="259" max="260" width="12.42578125" style="3" customWidth="1"/>
    <col min="261" max="267" width="12.85546875" style="3" customWidth="1"/>
    <col min="268" max="268" width="4" style="3" customWidth="1"/>
    <col min="269" max="271" width="14.85546875" style="3" customWidth="1"/>
    <col min="272" max="278" width="12.42578125" style="3"/>
    <col min="279" max="279" width="6.28515625" style="3" customWidth="1"/>
    <col min="280" max="511" width="12.42578125" style="3"/>
    <col min="512" max="512" width="4" style="3" customWidth="1"/>
    <col min="513" max="514" width="11.28515625" style="3" customWidth="1"/>
    <col min="515" max="516" width="12.42578125" style="3" customWidth="1"/>
    <col min="517" max="523" width="12.85546875" style="3" customWidth="1"/>
    <col min="524" max="524" width="4" style="3" customWidth="1"/>
    <col min="525" max="527" width="14.85546875" style="3" customWidth="1"/>
    <col min="528" max="534" width="12.42578125" style="3"/>
    <col min="535" max="535" width="6.28515625" style="3" customWidth="1"/>
    <col min="536" max="767" width="12.42578125" style="3"/>
    <col min="768" max="768" width="4" style="3" customWidth="1"/>
    <col min="769" max="770" width="11.28515625" style="3" customWidth="1"/>
    <col min="771" max="772" width="12.42578125" style="3" customWidth="1"/>
    <col min="773" max="779" width="12.85546875" style="3" customWidth="1"/>
    <col min="780" max="780" width="4" style="3" customWidth="1"/>
    <col min="781" max="783" width="14.85546875" style="3" customWidth="1"/>
    <col min="784" max="790" width="12.42578125" style="3"/>
    <col min="791" max="791" width="6.28515625" style="3" customWidth="1"/>
    <col min="792" max="1023" width="12.42578125" style="3"/>
    <col min="1024" max="1024" width="4" style="3" customWidth="1"/>
    <col min="1025" max="1026" width="11.28515625" style="3" customWidth="1"/>
    <col min="1027" max="1028" width="12.42578125" style="3" customWidth="1"/>
    <col min="1029" max="1035" width="12.85546875" style="3" customWidth="1"/>
    <col min="1036" max="1036" width="4" style="3" customWidth="1"/>
    <col min="1037" max="1039" width="14.85546875" style="3" customWidth="1"/>
    <col min="1040" max="1046" width="12.42578125" style="3"/>
    <col min="1047" max="1047" width="6.28515625" style="3" customWidth="1"/>
    <col min="1048" max="1279" width="12.42578125" style="3"/>
    <col min="1280" max="1280" width="4" style="3" customWidth="1"/>
    <col min="1281" max="1282" width="11.28515625" style="3" customWidth="1"/>
    <col min="1283" max="1284" width="12.42578125" style="3" customWidth="1"/>
    <col min="1285" max="1291" width="12.85546875" style="3" customWidth="1"/>
    <col min="1292" max="1292" width="4" style="3" customWidth="1"/>
    <col min="1293" max="1295" width="14.85546875" style="3" customWidth="1"/>
    <col min="1296" max="1302" width="12.42578125" style="3"/>
    <col min="1303" max="1303" width="6.28515625" style="3" customWidth="1"/>
    <col min="1304" max="1535" width="12.42578125" style="3"/>
    <col min="1536" max="1536" width="4" style="3" customWidth="1"/>
    <col min="1537" max="1538" width="11.28515625" style="3" customWidth="1"/>
    <col min="1539" max="1540" width="12.42578125" style="3" customWidth="1"/>
    <col min="1541" max="1547" width="12.85546875" style="3" customWidth="1"/>
    <col min="1548" max="1548" width="4" style="3" customWidth="1"/>
    <col min="1549" max="1551" width="14.85546875" style="3" customWidth="1"/>
    <col min="1552" max="1558" width="12.42578125" style="3"/>
    <col min="1559" max="1559" width="6.28515625" style="3" customWidth="1"/>
    <col min="1560" max="1791" width="12.42578125" style="3"/>
    <col min="1792" max="1792" width="4" style="3" customWidth="1"/>
    <col min="1793" max="1794" width="11.28515625" style="3" customWidth="1"/>
    <col min="1795" max="1796" width="12.42578125" style="3" customWidth="1"/>
    <col min="1797" max="1803" width="12.85546875" style="3" customWidth="1"/>
    <col min="1804" max="1804" width="4" style="3" customWidth="1"/>
    <col min="1805" max="1807" width="14.85546875" style="3" customWidth="1"/>
    <col min="1808" max="1814" width="12.42578125" style="3"/>
    <col min="1815" max="1815" width="6.28515625" style="3" customWidth="1"/>
    <col min="1816" max="2047" width="12.42578125" style="3"/>
    <col min="2048" max="2048" width="4" style="3" customWidth="1"/>
    <col min="2049" max="2050" width="11.28515625" style="3" customWidth="1"/>
    <col min="2051" max="2052" width="12.42578125" style="3" customWidth="1"/>
    <col min="2053" max="2059" width="12.85546875" style="3" customWidth="1"/>
    <col min="2060" max="2060" width="4" style="3" customWidth="1"/>
    <col min="2061" max="2063" width="14.85546875" style="3" customWidth="1"/>
    <col min="2064" max="2070" width="12.42578125" style="3"/>
    <col min="2071" max="2071" width="6.28515625" style="3" customWidth="1"/>
    <col min="2072" max="2303" width="12.42578125" style="3"/>
    <col min="2304" max="2304" width="4" style="3" customWidth="1"/>
    <col min="2305" max="2306" width="11.28515625" style="3" customWidth="1"/>
    <col min="2307" max="2308" width="12.42578125" style="3" customWidth="1"/>
    <col min="2309" max="2315" width="12.85546875" style="3" customWidth="1"/>
    <col min="2316" max="2316" width="4" style="3" customWidth="1"/>
    <col min="2317" max="2319" width="14.85546875" style="3" customWidth="1"/>
    <col min="2320" max="2326" width="12.42578125" style="3"/>
    <col min="2327" max="2327" width="6.28515625" style="3" customWidth="1"/>
    <col min="2328" max="2559" width="12.42578125" style="3"/>
    <col min="2560" max="2560" width="4" style="3" customWidth="1"/>
    <col min="2561" max="2562" width="11.28515625" style="3" customWidth="1"/>
    <col min="2563" max="2564" width="12.42578125" style="3" customWidth="1"/>
    <col min="2565" max="2571" width="12.85546875" style="3" customWidth="1"/>
    <col min="2572" max="2572" width="4" style="3" customWidth="1"/>
    <col min="2573" max="2575" width="14.85546875" style="3" customWidth="1"/>
    <col min="2576" max="2582" width="12.42578125" style="3"/>
    <col min="2583" max="2583" width="6.28515625" style="3" customWidth="1"/>
    <col min="2584" max="2815" width="12.42578125" style="3"/>
    <col min="2816" max="2816" width="4" style="3" customWidth="1"/>
    <col min="2817" max="2818" width="11.28515625" style="3" customWidth="1"/>
    <col min="2819" max="2820" width="12.42578125" style="3" customWidth="1"/>
    <col min="2821" max="2827" width="12.85546875" style="3" customWidth="1"/>
    <col min="2828" max="2828" width="4" style="3" customWidth="1"/>
    <col min="2829" max="2831" width="14.85546875" style="3" customWidth="1"/>
    <col min="2832" max="2838" width="12.42578125" style="3"/>
    <col min="2839" max="2839" width="6.28515625" style="3" customWidth="1"/>
    <col min="2840" max="3071" width="12.42578125" style="3"/>
    <col min="3072" max="3072" width="4" style="3" customWidth="1"/>
    <col min="3073" max="3074" width="11.28515625" style="3" customWidth="1"/>
    <col min="3075" max="3076" width="12.42578125" style="3" customWidth="1"/>
    <col min="3077" max="3083" width="12.85546875" style="3" customWidth="1"/>
    <col min="3084" max="3084" width="4" style="3" customWidth="1"/>
    <col min="3085" max="3087" width="14.85546875" style="3" customWidth="1"/>
    <col min="3088" max="3094" width="12.42578125" style="3"/>
    <col min="3095" max="3095" width="6.28515625" style="3" customWidth="1"/>
    <col min="3096" max="3327" width="12.42578125" style="3"/>
    <col min="3328" max="3328" width="4" style="3" customWidth="1"/>
    <col min="3329" max="3330" width="11.28515625" style="3" customWidth="1"/>
    <col min="3331" max="3332" width="12.42578125" style="3" customWidth="1"/>
    <col min="3333" max="3339" width="12.85546875" style="3" customWidth="1"/>
    <col min="3340" max="3340" width="4" style="3" customWidth="1"/>
    <col min="3341" max="3343" width="14.85546875" style="3" customWidth="1"/>
    <col min="3344" max="3350" width="12.42578125" style="3"/>
    <col min="3351" max="3351" width="6.28515625" style="3" customWidth="1"/>
    <col min="3352" max="3583" width="12.42578125" style="3"/>
    <col min="3584" max="3584" width="4" style="3" customWidth="1"/>
    <col min="3585" max="3586" width="11.28515625" style="3" customWidth="1"/>
    <col min="3587" max="3588" width="12.42578125" style="3" customWidth="1"/>
    <col min="3589" max="3595" width="12.85546875" style="3" customWidth="1"/>
    <col min="3596" max="3596" width="4" style="3" customWidth="1"/>
    <col min="3597" max="3599" width="14.85546875" style="3" customWidth="1"/>
    <col min="3600" max="3606" width="12.42578125" style="3"/>
    <col min="3607" max="3607" width="6.28515625" style="3" customWidth="1"/>
    <col min="3608" max="3839" width="12.42578125" style="3"/>
    <col min="3840" max="3840" width="4" style="3" customWidth="1"/>
    <col min="3841" max="3842" width="11.28515625" style="3" customWidth="1"/>
    <col min="3843" max="3844" width="12.42578125" style="3" customWidth="1"/>
    <col min="3845" max="3851" width="12.85546875" style="3" customWidth="1"/>
    <col min="3852" max="3852" width="4" style="3" customWidth="1"/>
    <col min="3853" max="3855" width="14.85546875" style="3" customWidth="1"/>
    <col min="3856" max="3862" width="12.42578125" style="3"/>
    <col min="3863" max="3863" width="6.28515625" style="3" customWidth="1"/>
    <col min="3864" max="4095" width="12.42578125" style="3"/>
    <col min="4096" max="4096" width="4" style="3" customWidth="1"/>
    <col min="4097" max="4098" width="11.28515625" style="3" customWidth="1"/>
    <col min="4099" max="4100" width="12.42578125" style="3" customWidth="1"/>
    <col min="4101" max="4107" width="12.85546875" style="3" customWidth="1"/>
    <col min="4108" max="4108" width="4" style="3" customWidth="1"/>
    <col min="4109" max="4111" width="14.85546875" style="3" customWidth="1"/>
    <col min="4112" max="4118" width="12.42578125" style="3"/>
    <col min="4119" max="4119" width="6.28515625" style="3" customWidth="1"/>
    <col min="4120" max="4351" width="12.42578125" style="3"/>
    <col min="4352" max="4352" width="4" style="3" customWidth="1"/>
    <col min="4353" max="4354" width="11.28515625" style="3" customWidth="1"/>
    <col min="4355" max="4356" width="12.42578125" style="3" customWidth="1"/>
    <col min="4357" max="4363" width="12.85546875" style="3" customWidth="1"/>
    <col min="4364" max="4364" width="4" style="3" customWidth="1"/>
    <col min="4365" max="4367" width="14.85546875" style="3" customWidth="1"/>
    <col min="4368" max="4374" width="12.42578125" style="3"/>
    <col min="4375" max="4375" width="6.28515625" style="3" customWidth="1"/>
    <col min="4376" max="4607" width="12.42578125" style="3"/>
    <col min="4608" max="4608" width="4" style="3" customWidth="1"/>
    <col min="4609" max="4610" width="11.28515625" style="3" customWidth="1"/>
    <col min="4611" max="4612" width="12.42578125" style="3" customWidth="1"/>
    <col min="4613" max="4619" width="12.85546875" style="3" customWidth="1"/>
    <col min="4620" max="4620" width="4" style="3" customWidth="1"/>
    <col min="4621" max="4623" width="14.85546875" style="3" customWidth="1"/>
    <col min="4624" max="4630" width="12.42578125" style="3"/>
    <col min="4631" max="4631" width="6.28515625" style="3" customWidth="1"/>
    <col min="4632" max="4863" width="12.42578125" style="3"/>
    <col min="4864" max="4864" width="4" style="3" customWidth="1"/>
    <col min="4865" max="4866" width="11.28515625" style="3" customWidth="1"/>
    <col min="4867" max="4868" width="12.42578125" style="3" customWidth="1"/>
    <col min="4869" max="4875" width="12.85546875" style="3" customWidth="1"/>
    <col min="4876" max="4876" width="4" style="3" customWidth="1"/>
    <col min="4877" max="4879" width="14.85546875" style="3" customWidth="1"/>
    <col min="4880" max="4886" width="12.42578125" style="3"/>
    <col min="4887" max="4887" width="6.28515625" style="3" customWidth="1"/>
    <col min="4888" max="5119" width="12.42578125" style="3"/>
    <col min="5120" max="5120" width="4" style="3" customWidth="1"/>
    <col min="5121" max="5122" width="11.28515625" style="3" customWidth="1"/>
    <col min="5123" max="5124" width="12.42578125" style="3" customWidth="1"/>
    <col min="5125" max="5131" width="12.85546875" style="3" customWidth="1"/>
    <col min="5132" max="5132" width="4" style="3" customWidth="1"/>
    <col min="5133" max="5135" width="14.85546875" style="3" customWidth="1"/>
    <col min="5136" max="5142" width="12.42578125" style="3"/>
    <col min="5143" max="5143" width="6.28515625" style="3" customWidth="1"/>
    <col min="5144" max="5375" width="12.42578125" style="3"/>
    <col min="5376" max="5376" width="4" style="3" customWidth="1"/>
    <col min="5377" max="5378" width="11.28515625" style="3" customWidth="1"/>
    <col min="5379" max="5380" width="12.42578125" style="3" customWidth="1"/>
    <col min="5381" max="5387" width="12.85546875" style="3" customWidth="1"/>
    <col min="5388" max="5388" width="4" style="3" customWidth="1"/>
    <col min="5389" max="5391" width="14.85546875" style="3" customWidth="1"/>
    <col min="5392" max="5398" width="12.42578125" style="3"/>
    <col min="5399" max="5399" width="6.28515625" style="3" customWidth="1"/>
    <col min="5400" max="5631" width="12.42578125" style="3"/>
    <col min="5632" max="5632" width="4" style="3" customWidth="1"/>
    <col min="5633" max="5634" width="11.28515625" style="3" customWidth="1"/>
    <col min="5635" max="5636" width="12.42578125" style="3" customWidth="1"/>
    <col min="5637" max="5643" width="12.85546875" style="3" customWidth="1"/>
    <col min="5644" max="5644" width="4" style="3" customWidth="1"/>
    <col min="5645" max="5647" width="14.85546875" style="3" customWidth="1"/>
    <col min="5648" max="5654" width="12.42578125" style="3"/>
    <col min="5655" max="5655" width="6.28515625" style="3" customWidth="1"/>
    <col min="5656" max="5887" width="12.42578125" style="3"/>
    <col min="5888" max="5888" width="4" style="3" customWidth="1"/>
    <col min="5889" max="5890" width="11.28515625" style="3" customWidth="1"/>
    <col min="5891" max="5892" width="12.42578125" style="3" customWidth="1"/>
    <col min="5893" max="5899" width="12.85546875" style="3" customWidth="1"/>
    <col min="5900" max="5900" width="4" style="3" customWidth="1"/>
    <col min="5901" max="5903" width="14.85546875" style="3" customWidth="1"/>
    <col min="5904" max="5910" width="12.42578125" style="3"/>
    <col min="5911" max="5911" width="6.28515625" style="3" customWidth="1"/>
    <col min="5912" max="6143" width="12.42578125" style="3"/>
    <col min="6144" max="6144" width="4" style="3" customWidth="1"/>
    <col min="6145" max="6146" width="11.28515625" style="3" customWidth="1"/>
    <col min="6147" max="6148" width="12.42578125" style="3" customWidth="1"/>
    <col min="6149" max="6155" width="12.85546875" style="3" customWidth="1"/>
    <col min="6156" max="6156" width="4" style="3" customWidth="1"/>
    <col min="6157" max="6159" width="14.85546875" style="3" customWidth="1"/>
    <col min="6160" max="6166" width="12.42578125" style="3"/>
    <col min="6167" max="6167" width="6.28515625" style="3" customWidth="1"/>
    <col min="6168" max="6399" width="12.42578125" style="3"/>
    <col min="6400" max="6400" width="4" style="3" customWidth="1"/>
    <col min="6401" max="6402" width="11.28515625" style="3" customWidth="1"/>
    <col min="6403" max="6404" width="12.42578125" style="3" customWidth="1"/>
    <col min="6405" max="6411" width="12.85546875" style="3" customWidth="1"/>
    <col min="6412" max="6412" width="4" style="3" customWidth="1"/>
    <col min="6413" max="6415" width="14.85546875" style="3" customWidth="1"/>
    <col min="6416" max="6422" width="12.42578125" style="3"/>
    <col min="6423" max="6423" width="6.28515625" style="3" customWidth="1"/>
    <col min="6424" max="6655" width="12.42578125" style="3"/>
    <col min="6656" max="6656" width="4" style="3" customWidth="1"/>
    <col min="6657" max="6658" width="11.28515625" style="3" customWidth="1"/>
    <col min="6659" max="6660" width="12.42578125" style="3" customWidth="1"/>
    <col min="6661" max="6667" width="12.85546875" style="3" customWidth="1"/>
    <col min="6668" max="6668" width="4" style="3" customWidth="1"/>
    <col min="6669" max="6671" width="14.85546875" style="3" customWidth="1"/>
    <col min="6672" max="6678" width="12.42578125" style="3"/>
    <col min="6679" max="6679" width="6.28515625" style="3" customWidth="1"/>
    <col min="6680" max="6911" width="12.42578125" style="3"/>
    <col min="6912" max="6912" width="4" style="3" customWidth="1"/>
    <col min="6913" max="6914" width="11.28515625" style="3" customWidth="1"/>
    <col min="6915" max="6916" width="12.42578125" style="3" customWidth="1"/>
    <col min="6917" max="6923" width="12.85546875" style="3" customWidth="1"/>
    <col min="6924" max="6924" width="4" style="3" customWidth="1"/>
    <col min="6925" max="6927" width="14.85546875" style="3" customWidth="1"/>
    <col min="6928" max="6934" width="12.42578125" style="3"/>
    <col min="6935" max="6935" width="6.28515625" style="3" customWidth="1"/>
    <col min="6936" max="7167" width="12.42578125" style="3"/>
    <col min="7168" max="7168" width="4" style="3" customWidth="1"/>
    <col min="7169" max="7170" width="11.28515625" style="3" customWidth="1"/>
    <col min="7171" max="7172" width="12.42578125" style="3" customWidth="1"/>
    <col min="7173" max="7179" width="12.85546875" style="3" customWidth="1"/>
    <col min="7180" max="7180" width="4" style="3" customWidth="1"/>
    <col min="7181" max="7183" width="14.85546875" style="3" customWidth="1"/>
    <col min="7184" max="7190" width="12.42578125" style="3"/>
    <col min="7191" max="7191" width="6.28515625" style="3" customWidth="1"/>
    <col min="7192" max="7423" width="12.42578125" style="3"/>
    <col min="7424" max="7424" width="4" style="3" customWidth="1"/>
    <col min="7425" max="7426" width="11.28515625" style="3" customWidth="1"/>
    <col min="7427" max="7428" width="12.42578125" style="3" customWidth="1"/>
    <col min="7429" max="7435" width="12.85546875" style="3" customWidth="1"/>
    <col min="7436" max="7436" width="4" style="3" customWidth="1"/>
    <col min="7437" max="7439" width="14.85546875" style="3" customWidth="1"/>
    <col min="7440" max="7446" width="12.42578125" style="3"/>
    <col min="7447" max="7447" width="6.28515625" style="3" customWidth="1"/>
    <col min="7448" max="7679" width="12.42578125" style="3"/>
    <col min="7680" max="7680" width="4" style="3" customWidth="1"/>
    <col min="7681" max="7682" width="11.28515625" style="3" customWidth="1"/>
    <col min="7683" max="7684" width="12.42578125" style="3" customWidth="1"/>
    <col min="7685" max="7691" width="12.85546875" style="3" customWidth="1"/>
    <col min="7692" max="7692" width="4" style="3" customWidth="1"/>
    <col min="7693" max="7695" width="14.85546875" style="3" customWidth="1"/>
    <col min="7696" max="7702" width="12.42578125" style="3"/>
    <col min="7703" max="7703" width="6.28515625" style="3" customWidth="1"/>
    <col min="7704" max="7935" width="12.42578125" style="3"/>
    <col min="7936" max="7936" width="4" style="3" customWidth="1"/>
    <col min="7937" max="7938" width="11.28515625" style="3" customWidth="1"/>
    <col min="7939" max="7940" width="12.42578125" style="3" customWidth="1"/>
    <col min="7941" max="7947" width="12.85546875" style="3" customWidth="1"/>
    <col min="7948" max="7948" width="4" style="3" customWidth="1"/>
    <col min="7949" max="7951" width="14.85546875" style="3" customWidth="1"/>
    <col min="7952" max="7958" width="12.42578125" style="3"/>
    <col min="7959" max="7959" width="6.28515625" style="3" customWidth="1"/>
    <col min="7960" max="8191" width="12.42578125" style="3"/>
    <col min="8192" max="8192" width="4" style="3" customWidth="1"/>
    <col min="8193" max="8194" width="11.28515625" style="3" customWidth="1"/>
    <col min="8195" max="8196" width="12.42578125" style="3" customWidth="1"/>
    <col min="8197" max="8203" width="12.85546875" style="3" customWidth="1"/>
    <col min="8204" max="8204" width="4" style="3" customWidth="1"/>
    <col min="8205" max="8207" width="14.85546875" style="3" customWidth="1"/>
    <col min="8208" max="8214" width="12.42578125" style="3"/>
    <col min="8215" max="8215" width="6.28515625" style="3" customWidth="1"/>
    <col min="8216" max="8447" width="12.42578125" style="3"/>
    <col min="8448" max="8448" width="4" style="3" customWidth="1"/>
    <col min="8449" max="8450" width="11.28515625" style="3" customWidth="1"/>
    <col min="8451" max="8452" width="12.42578125" style="3" customWidth="1"/>
    <col min="8453" max="8459" width="12.85546875" style="3" customWidth="1"/>
    <col min="8460" max="8460" width="4" style="3" customWidth="1"/>
    <col min="8461" max="8463" width="14.85546875" style="3" customWidth="1"/>
    <col min="8464" max="8470" width="12.42578125" style="3"/>
    <col min="8471" max="8471" width="6.28515625" style="3" customWidth="1"/>
    <col min="8472" max="8703" width="12.42578125" style="3"/>
    <col min="8704" max="8704" width="4" style="3" customWidth="1"/>
    <col min="8705" max="8706" width="11.28515625" style="3" customWidth="1"/>
    <col min="8707" max="8708" width="12.42578125" style="3" customWidth="1"/>
    <col min="8709" max="8715" width="12.85546875" style="3" customWidth="1"/>
    <col min="8716" max="8716" width="4" style="3" customWidth="1"/>
    <col min="8717" max="8719" width="14.85546875" style="3" customWidth="1"/>
    <col min="8720" max="8726" width="12.42578125" style="3"/>
    <col min="8727" max="8727" width="6.28515625" style="3" customWidth="1"/>
    <col min="8728" max="8959" width="12.42578125" style="3"/>
    <col min="8960" max="8960" width="4" style="3" customWidth="1"/>
    <col min="8961" max="8962" width="11.28515625" style="3" customWidth="1"/>
    <col min="8963" max="8964" width="12.42578125" style="3" customWidth="1"/>
    <col min="8965" max="8971" width="12.85546875" style="3" customWidth="1"/>
    <col min="8972" max="8972" width="4" style="3" customWidth="1"/>
    <col min="8973" max="8975" width="14.85546875" style="3" customWidth="1"/>
    <col min="8976" max="8982" width="12.42578125" style="3"/>
    <col min="8983" max="8983" width="6.28515625" style="3" customWidth="1"/>
    <col min="8984" max="9215" width="12.42578125" style="3"/>
    <col min="9216" max="9216" width="4" style="3" customWidth="1"/>
    <col min="9217" max="9218" width="11.28515625" style="3" customWidth="1"/>
    <col min="9219" max="9220" width="12.42578125" style="3" customWidth="1"/>
    <col min="9221" max="9227" width="12.85546875" style="3" customWidth="1"/>
    <col min="9228" max="9228" width="4" style="3" customWidth="1"/>
    <col min="9229" max="9231" width="14.85546875" style="3" customWidth="1"/>
    <col min="9232" max="9238" width="12.42578125" style="3"/>
    <col min="9239" max="9239" width="6.28515625" style="3" customWidth="1"/>
    <col min="9240" max="9471" width="12.42578125" style="3"/>
    <col min="9472" max="9472" width="4" style="3" customWidth="1"/>
    <col min="9473" max="9474" width="11.28515625" style="3" customWidth="1"/>
    <col min="9475" max="9476" width="12.42578125" style="3" customWidth="1"/>
    <col min="9477" max="9483" width="12.85546875" style="3" customWidth="1"/>
    <col min="9484" max="9484" width="4" style="3" customWidth="1"/>
    <col min="9485" max="9487" width="14.85546875" style="3" customWidth="1"/>
    <col min="9488" max="9494" width="12.42578125" style="3"/>
    <col min="9495" max="9495" width="6.28515625" style="3" customWidth="1"/>
    <col min="9496" max="9727" width="12.42578125" style="3"/>
    <col min="9728" max="9728" width="4" style="3" customWidth="1"/>
    <col min="9729" max="9730" width="11.28515625" style="3" customWidth="1"/>
    <col min="9731" max="9732" width="12.42578125" style="3" customWidth="1"/>
    <col min="9733" max="9739" width="12.85546875" style="3" customWidth="1"/>
    <col min="9740" max="9740" width="4" style="3" customWidth="1"/>
    <col min="9741" max="9743" width="14.85546875" style="3" customWidth="1"/>
    <col min="9744" max="9750" width="12.42578125" style="3"/>
    <col min="9751" max="9751" width="6.28515625" style="3" customWidth="1"/>
    <col min="9752" max="9983" width="12.42578125" style="3"/>
    <col min="9984" max="9984" width="4" style="3" customWidth="1"/>
    <col min="9985" max="9986" width="11.28515625" style="3" customWidth="1"/>
    <col min="9987" max="9988" width="12.42578125" style="3" customWidth="1"/>
    <col min="9989" max="9995" width="12.85546875" style="3" customWidth="1"/>
    <col min="9996" max="9996" width="4" style="3" customWidth="1"/>
    <col min="9997" max="9999" width="14.85546875" style="3" customWidth="1"/>
    <col min="10000" max="10006" width="12.42578125" style="3"/>
    <col min="10007" max="10007" width="6.28515625" style="3" customWidth="1"/>
    <col min="10008" max="10239" width="12.42578125" style="3"/>
    <col min="10240" max="10240" width="4" style="3" customWidth="1"/>
    <col min="10241" max="10242" width="11.28515625" style="3" customWidth="1"/>
    <col min="10243" max="10244" width="12.42578125" style="3" customWidth="1"/>
    <col min="10245" max="10251" width="12.85546875" style="3" customWidth="1"/>
    <col min="10252" max="10252" width="4" style="3" customWidth="1"/>
    <col min="10253" max="10255" width="14.85546875" style="3" customWidth="1"/>
    <col min="10256" max="10262" width="12.42578125" style="3"/>
    <col min="10263" max="10263" width="6.28515625" style="3" customWidth="1"/>
    <col min="10264" max="10495" width="12.42578125" style="3"/>
    <col min="10496" max="10496" width="4" style="3" customWidth="1"/>
    <col min="10497" max="10498" width="11.28515625" style="3" customWidth="1"/>
    <col min="10499" max="10500" width="12.42578125" style="3" customWidth="1"/>
    <col min="10501" max="10507" width="12.85546875" style="3" customWidth="1"/>
    <col min="10508" max="10508" width="4" style="3" customWidth="1"/>
    <col min="10509" max="10511" width="14.85546875" style="3" customWidth="1"/>
    <col min="10512" max="10518" width="12.42578125" style="3"/>
    <col min="10519" max="10519" width="6.28515625" style="3" customWidth="1"/>
    <col min="10520" max="10751" width="12.42578125" style="3"/>
    <col min="10752" max="10752" width="4" style="3" customWidth="1"/>
    <col min="10753" max="10754" width="11.28515625" style="3" customWidth="1"/>
    <col min="10755" max="10756" width="12.42578125" style="3" customWidth="1"/>
    <col min="10757" max="10763" width="12.85546875" style="3" customWidth="1"/>
    <col min="10764" max="10764" width="4" style="3" customWidth="1"/>
    <col min="10765" max="10767" width="14.85546875" style="3" customWidth="1"/>
    <col min="10768" max="10774" width="12.42578125" style="3"/>
    <col min="10775" max="10775" width="6.28515625" style="3" customWidth="1"/>
    <col min="10776" max="11007" width="12.42578125" style="3"/>
    <col min="11008" max="11008" width="4" style="3" customWidth="1"/>
    <col min="11009" max="11010" width="11.28515625" style="3" customWidth="1"/>
    <col min="11011" max="11012" width="12.42578125" style="3" customWidth="1"/>
    <col min="11013" max="11019" width="12.85546875" style="3" customWidth="1"/>
    <col min="11020" max="11020" width="4" style="3" customWidth="1"/>
    <col min="11021" max="11023" width="14.85546875" style="3" customWidth="1"/>
    <col min="11024" max="11030" width="12.42578125" style="3"/>
    <col min="11031" max="11031" width="6.28515625" style="3" customWidth="1"/>
    <col min="11032" max="11263" width="12.42578125" style="3"/>
    <col min="11264" max="11264" width="4" style="3" customWidth="1"/>
    <col min="11265" max="11266" width="11.28515625" style="3" customWidth="1"/>
    <col min="11267" max="11268" width="12.42578125" style="3" customWidth="1"/>
    <col min="11269" max="11275" width="12.85546875" style="3" customWidth="1"/>
    <col min="11276" max="11276" width="4" style="3" customWidth="1"/>
    <col min="11277" max="11279" width="14.85546875" style="3" customWidth="1"/>
    <col min="11280" max="11286" width="12.42578125" style="3"/>
    <col min="11287" max="11287" width="6.28515625" style="3" customWidth="1"/>
    <col min="11288" max="11519" width="12.42578125" style="3"/>
    <col min="11520" max="11520" width="4" style="3" customWidth="1"/>
    <col min="11521" max="11522" width="11.28515625" style="3" customWidth="1"/>
    <col min="11523" max="11524" width="12.42578125" style="3" customWidth="1"/>
    <col min="11525" max="11531" width="12.85546875" style="3" customWidth="1"/>
    <col min="11532" max="11532" width="4" style="3" customWidth="1"/>
    <col min="11533" max="11535" width="14.85546875" style="3" customWidth="1"/>
    <col min="11536" max="11542" width="12.42578125" style="3"/>
    <col min="11543" max="11543" width="6.28515625" style="3" customWidth="1"/>
    <col min="11544" max="11775" width="12.42578125" style="3"/>
    <col min="11776" max="11776" width="4" style="3" customWidth="1"/>
    <col min="11777" max="11778" width="11.28515625" style="3" customWidth="1"/>
    <col min="11779" max="11780" width="12.42578125" style="3" customWidth="1"/>
    <col min="11781" max="11787" width="12.85546875" style="3" customWidth="1"/>
    <col min="11788" max="11788" width="4" style="3" customWidth="1"/>
    <col min="11789" max="11791" width="14.85546875" style="3" customWidth="1"/>
    <col min="11792" max="11798" width="12.42578125" style="3"/>
    <col min="11799" max="11799" width="6.28515625" style="3" customWidth="1"/>
    <col min="11800" max="12031" width="12.42578125" style="3"/>
    <col min="12032" max="12032" width="4" style="3" customWidth="1"/>
    <col min="12033" max="12034" width="11.28515625" style="3" customWidth="1"/>
    <col min="12035" max="12036" width="12.42578125" style="3" customWidth="1"/>
    <col min="12037" max="12043" width="12.85546875" style="3" customWidth="1"/>
    <col min="12044" max="12044" width="4" style="3" customWidth="1"/>
    <col min="12045" max="12047" width="14.85546875" style="3" customWidth="1"/>
    <col min="12048" max="12054" width="12.42578125" style="3"/>
    <col min="12055" max="12055" width="6.28515625" style="3" customWidth="1"/>
    <col min="12056" max="12287" width="12.42578125" style="3"/>
    <col min="12288" max="12288" width="4" style="3" customWidth="1"/>
    <col min="12289" max="12290" width="11.28515625" style="3" customWidth="1"/>
    <col min="12291" max="12292" width="12.42578125" style="3" customWidth="1"/>
    <col min="12293" max="12299" width="12.85546875" style="3" customWidth="1"/>
    <col min="12300" max="12300" width="4" style="3" customWidth="1"/>
    <col min="12301" max="12303" width="14.85546875" style="3" customWidth="1"/>
    <col min="12304" max="12310" width="12.42578125" style="3"/>
    <col min="12311" max="12311" width="6.28515625" style="3" customWidth="1"/>
    <col min="12312" max="12543" width="12.42578125" style="3"/>
    <col min="12544" max="12544" width="4" style="3" customWidth="1"/>
    <col min="12545" max="12546" width="11.28515625" style="3" customWidth="1"/>
    <col min="12547" max="12548" width="12.42578125" style="3" customWidth="1"/>
    <col min="12549" max="12555" width="12.85546875" style="3" customWidth="1"/>
    <col min="12556" max="12556" width="4" style="3" customWidth="1"/>
    <col min="12557" max="12559" width="14.85546875" style="3" customWidth="1"/>
    <col min="12560" max="12566" width="12.42578125" style="3"/>
    <col min="12567" max="12567" width="6.28515625" style="3" customWidth="1"/>
    <col min="12568" max="12799" width="12.42578125" style="3"/>
    <col min="12800" max="12800" width="4" style="3" customWidth="1"/>
    <col min="12801" max="12802" width="11.28515625" style="3" customWidth="1"/>
    <col min="12803" max="12804" width="12.42578125" style="3" customWidth="1"/>
    <col min="12805" max="12811" width="12.85546875" style="3" customWidth="1"/>
    <col min="12812" max="12812" width="4" style="3" customWidth="1"/>
    <col min="12813" max="12815" width="14.85546875" style="3" customWidth="1"/>
    <col min="12816" max="12822" width="12.42578125" style="3"/>
    <col min="12823" max="12823" width="6.28515625" style="3" customWidth="1"/>
    <col min="12824" max="13055" width="12.42578125" style="3"/>
    <col min="13056" max="13056" width="4" style="3" customWidth="1"/>
    <col min="13057" max="13058" width="11.28515625" style="3" customWidth="1"/>
    <col min="13059" max="13060" width="12.42578125" style="3" customWidth="1"/>
    <col min="13061" max="13067" width="12.85546875" style="3" customWidth="1"/>
    <col min="13068" max="13068" width="4" style="3" customWidth="1"/>
    <col min="13069" max="13071" width="14.85546875" style="3" customWidth="1"/>
    <col min="13072" max="13078" width="12.42578125" style="3"/>
    <col min="13079" max="13079" width="6.28515625" style="3" customWidth="1"/>
    <col min="13080" max="13311" width="12.42578125" style="3"/>
    <col min="13312" max="13312" width="4" style="3" customWidth="1"/>
    <col min="13313" max="13314" width="11.28515625" style="3" customWidth="1"/>
    <col min="13315" max="13316" width="12.42578125" style="3" customWidth="1"/>
    <col min="13317" max="13323" width="12.85546875" style="3" customWidth="1"/>
    <col min="13324" max="13324" width="4" style="3" customWidth="1"/>
    <col min="13325" max="13327" width="14.85546875" style="3" customWidth="1"/>
    <col min="13328" max="13334" width="12.42578125" style="3"/>
    <col min="13335" max="13335" width="6.28515625" style="3" customWidth="1"/>
    <col min="13336" max="13567" width="12.42578125" style="3"/>
    <col min="13568" max="13568" width="4" style="3" customWidth="1"/>
    <col min="13569" max="13570" width="11.28515625" style="3" customWidth="1"/>
    <col min="13571" max="13572" width="12.42578125" style="3" customWidth="1"/>
    <col min="13573" max="13579" width="12.85546875" style="3" customWidth="1"/>
    <col min="13580" max="13580" width="4" style="3" customWidth="1"/>
    <col min="13581" max="13583" width="14.85546875" style="3" customWidth="1"/>
    <col min="13584" max="13590" width="12.42578125" style="3"/>
    <col min="13591" max="13591" width="6.28515625" style="3" customWidth="1"/>
    <col min="13592" max="13823" width="12.42578125" style="3"/>
    <col min="13824" max="13824" width="4" style="3" customWidth="1"/>
    <col min="13825" max="13826" width="11.28515625" style="3" customWidth="1"/>
    <col min="13827" max="13828" width="12.42578125" style="3" customWidth="1"/>
    <col min="13829" max="13835" width="12.85546875" style="3" customWidth="1"/>
    <col min="13836" max="13836" width="4" style="3" customWidth="1"/>
    <col min="13837" max="13839" width="14.85546875" style="3" customWidth="1"/>
    <col min="13840" max="13846" width="12.42578125" style="3"/>
    <col min="13847" max="13847" width="6.28515625" style="3" customWidth="1"/>
    <col min="13848" max="14079" width="12.42578125" style="3"/>
    <col min="14080" max="14080" width="4" style="3" customWidth="1"/>
    <col min="14081" max="14082" width="11.28515625" style="3" customWidth="1"/>
    <col min="14083" max="14084" width="12.42578125" style="3" customWidth="1"/>
    <col min="14085" max="14091" width="12.85546875" style="3" customWidth="1"/>
    <col min="14092" max="14092" width="4" style="3" customWidth="1"/>
    <col min="14093" max="14095" width="14.85546875" style="3" customWidth="1"/>
    <col min="14096" max="14102" width="12.42578125" style="3"/>
    <col min="14103" max="14103" width="6.28515625" style="3" customWidth="1"/>
    <col min="14104" max="14335" width="12.42578125" style="3"/>
    <col min="14336" max="14336" width="4" style="3" customWidth="1"/>
    <col min="14337" max="14338" width="11.28515625" style="3" customWidth="1"/>
    <col min="14339" max="14340" width="12.42578125" style="3" customWidth="1"/>
    <col min="14341" max="14347" width="12.85546875" style="3" customWidth="1"/>
    <col min="14348" max="14348" width="4" style="3" customWidth="1"/>
    <col min="14349" max="14351" width="14.85546875" style="3" customWidth="1"/>
    <col min="14352" max="14358" width="12.42578125" style="3"/>
    <col min="14359" max="14359" width="6.28515625" style="3" customWidth="1"/>
    <col min="14360" max="14591" width="12.42578125" style="3"/>
    <col min="14592" max="14592" width="4" style="3" customWidth="1"/>
    <col min="14593" max="14594" width="11.28515625" style="3" customWidth="1"/>
    <col min="14595" max="14596" width="12.42578125" style="3" customWidth="1"/>
    <col min="14597" max="14603" width="12.85546875" style="3" customWidth="1"/>
    <col min="14604" max="14604" width="4" style="3" customWidth="1"/>
    <col min="14605" max="14607" width="14.85546875" style="3" customWidth="1"/>
    <col min="14608" max="14614" width="12.42578125" style="3"/>
    <col min="14615" max="14615" width="6.28515625" style="3" customWidth="1"/>
    <col min="14616" max="14847" width="12.42578125" style="3"/>
    <col min="14848" max="14848" width="4" style="3" customWidth="1"/>
    <col min="14849" max="14850" width="11.28515625" style="3" customWidth="1"/>
    <col min="14851" max="14852" width="12.42578125" style="3" customWidth="1"/>
    <col min="14853" max="14859" width="12.85546875" style="3" customWidth="1"/>
    <col min="14860" max="14860" width="4" style="3" customWidth="1"/>
    <col min="14861" max="14863" width="14.85546875" style="3" customWidth="1"/>
    <col min="14864" max="14870" width="12.42578125" style="3"/>
    <col min="14871" max="14871" width="6.28515625" style="3" customWidth="1"/>
    <col min="14872" max="15103" width="12.42578125" style="3"/>
    <col min="15104" max="15104" width="4" style="3" customWidth="1"/>
    <col min="15105" max="15106" width="11.28515625" style="3" customWidth="1"/>
    <col min="15107" max="15108" width="12.42578125" style="3" customWidth="1"/>
    <col min="15109" max="15115" width="12.85546875" style="3" customWidth="1"/>
    <col min="15116" max="15116" width="4" style="3" customWidth="1"/>
    <col min="15117" max="15119" width="14.85546875" style="3" customWidth="1"/>
    <col min="15120" max="15126" width="12.42578125" style="3"/>
    <col min="15127" max="15127" width="6.28515625" style="3" customWidth="1"/>
    <col min="15128" max="15359" width="12.42578125" style="3"/>
    <col min="15360" max="15360" width="4" style="3" customWidth="1"/>
    <col min="15361" max="15362" width="11.28515625" style="3" customWidth="1"/>
    <col min="15363" max="15364" width="12.42578125" style="3" customWidth="1"/>
    <col min="15365" max="15371" width="12.85546875" style="3" customWidth="1"/>
    <col min="15372" max="15372" width="4" style="3" customWidth="1"/>
    <col min="15373" max="15375" width="14.85546875" style="3" customWidth="1"/>
    <col min="15376" max="15382" width="12.42578125" style="3"/>
    <col min="15383" max="15383" width="6.28515625" style="3" customWidth="1"/>
    <col min="15384" max="15615" width="12.42578125" style="3"/>
    <col min="15616" max="15616" width="4" style="3" customWidth="1"/>
    <col min="15617" max="15618" width="11.28515625" style="3" customWidth="1"/>
    <col min="15619" max="15620" width="12.42578125" style="3" customWidth="1"/>
    <col min="15621" max="15627" width="12.85546875" style="3" customWidth="1"/>
    <col min="15628" max="15628" width="4" style="3" customWidth="1"/>
    <col min="15629" max="15631" width="14.85546875" style="3" customWidth="1"/>
    <col min="15632" max="15638" width="12.42578125" style="3"/>
    <col min="15639" max="15639" width="6.28515625" style="3" customWidth="1"/>
    <col min="15640" max="15871" width="12.42578125" style="3"/>
    <col min="15872" max="15872" width="4" style="3" customWidth="1"/>
    <col min="15873" max="15874" width="11.28515625" style="3" customWidth="1"/>
    <col min="15875" max="15876" width="12.42578125" style="3" customWidth="1"/>
    <col min="15877" max="15883" width="12.85546875" style="3" customWidth="1"/>
    <col min="15884" max="15884" width="4" style="3" customWidth="1"/>
    <col min="15885" max="15887" width="14.85546875" style="3" customWidth="1"/>
    <col min="15888" max="15894" width="12.42578125" style="3"/>
    <col min="15895" max="15895" width="6.28515625" style="3" customWidth="1"/>
    <col min="15896" max="16127" width="12.42578125" style="3"/>
    <col min="16128" max="16128" width="4" style="3" customWidth="1"/>
    <col min="16129" max="16130" width="11.28515625" style="3" customWidth="1"/>
    <col min="16131" max="16132" width="12.42578125" style="3" customWidth="1"/>
    <col min="16133" max="16139" width="12.85546875" style="3" customWidth="1"/>
    <col min="16140" max="16140" width="4" style="3" customWidth="1"/>
    <col min="16141" max="16143" width="14.85546875" style="3" customWidth="1"/>
    <col min="16144" max="16150" width="12.42578125" style="3"/>
    <col min="16151" max="16151" width="6.28515625" style="3" customWidth="1"/>
    <col min="16152" max="16384" width="12.42578125" style="3"/>
  </cols>
  <sheetData>
    <row r="1" spans="1:32">
      <c r="F1" s="27" t="s">
        <v>21</v>
      </c>
      <c r="G1" s="27" t="s">
        <v>22</v>
      </c>
      <c r="H1" s="28"/>
    </row>
    <row r="2" spans="1:32" ht="16.5">
      <c r="E2" s="29" t="s">
        <v>23</v>
      </c>
      <c r="F2" s="30">
        <v>100</v>
      </c>
      <c r="G2" s="30">
        <v>30</v>
      </c>
      <c r="H2" s="28"/>
      <c r="J2" s="36" t="s">
        <v>141</v>
      </c>
      <c r="K2" s="91">
        <v>2</v>
      </c>
      <c r="L2" s="31" t="str">
        <f>CHOOSE(K2,"Fixe","Semi-variable","Variable")</f>
        <v>Semi-variable</v>
      </c>
      <c r="R2" s="36" t="s">
        <v>141</v>
      </c>
      <c r="S2" s="91">
        <v>2</v>
      </c>
      <c r="T2" s="31" t="str">
        <f>CHOOSE(S2,"Fixe","Semi-variable","Variable")</f>
        <v>Semi-variable</v>
      </c>
    </row>
    <row r="4" spans="1:32">
      <c r="E4" s="27"/>
      <c r="F4" s="27" t="s">
        <v>24</v>
      </c>
      <c r="G4" s="27" t="s">
        <v>25</v>
      </c>
      <c r="H4" s="27" t="s">
        <v>22</v>
      </c>
      <c r="J4" s="27"/>
      <c r="K4" s="27" t="s">
        <v>24</v>
      </c>
      <c r="L4" s="27" t="s">
        <v>25</v>
      </c>
      <c r="R4" s="27"/>
      <c r="S4" s="27" t="s">
        <v>24</v>
      </c>
      <c r="T4" s="27" t="s">
        <v>25</v>
      </c>
    </row>
    <row r="5" spans="1:32" ht="16.5">
      <c r="E5" s="29" t="s">
        <v>26</v>
      </c>
      <c r="F5" s="32">
        <v>10000</v>
      </c>
      <c r="G5" s="33">
        <v>85</v>
      </c>
      <c r="H5" s="30">
        <v>3000</v>
      </c>
      <c r="J5" s="34" t="s">
        <v>27</v>
      </c>
      <c r="K5" s="35">
        <f>CHOOSE(K2,AVERAGE($G$12:$G$35),INDEX(LINEST( $G$12:$G$35,$F$12:$F$35, TRUE(), FALSE()), 1, 2),0)</f>
        <v>8968.5390039572176</v>
      </c>
      <c r="L5" s="35">
        <f>CHOOSE(K2,0,INDEX(LINEST( $G$12:$G$35,$F$12:$F$35, TRUE(), FALSE()), 1, 1),SUM($G$12:$G$35)/SUM($F$12:$F$35))</f>
        <v>88.160567395698209</v>
      </c>
      <c r="R5" s="34" t="s">
        <v>27</v>
      </c>
      <c r="S5" s="35">
        <f>CHOOSE(S2,AVERAGE($Q$12:$Q$35),INDEX(LINEST( $Q$12:$Q$35,$O$12:$O$35, TRUE(), FALSE()), 1, 2),0)</f>
        <v>8025.9268360228198</v>
      </c>
      <c r="T5" s="35">
        <f>CHOOSE(S2,0,INDEX(LINEST( $Q$12:$Q$35,$O$12:$O$35, TRUE(), FALSE()), 1, 1),SUM($Q$12:$Q$35)/SUM($O$12:$O$35))</f>
        <v>98.085820484530643</v>
      </c>
    </row>
    <row r="6" spans="1:32">
      <c r="K6" s="3">
        <f>G36-L6*F36</f>
        <v>8968.5390039572158</v>
      </c>
      <c r="L6" s="3">
        <f t="array" ref="L6">SUM(((F12:F35)-F36)*((G12:G35)-G36)) / SUM(((F12:F35)-F36)^2)</f>
        <v>88.160567395698237</v>
      </c>
    </row>
    <row r="7" spans="1:32" ht="16.5">
      <c r="E7" s="62"/>
      <c r="F7" s="63"/>
      <c r="G7" s="62"/>
      <c r="H7" s="63" t="s">
        <v>70</v>
      </c>
      <c r="I7" s="64"/>
      <c r="J7" s="64"/>
      <c r="K7" s="64"/>
      <c r="L7" s="64"/>
      <c r="N7" s="60"/>
      <c r="O7" s="60"/>
      <c r="P7" s="60"/>
      <c r="Q7" s="60"/>
      <c r="R7" s="61" t="s">
        <v>69</v>
      </c>
      <c r="S7" s="60"/>
      <c r="T7" s="60"/>
      <c r="U7" s="60"/>
      <c r="V7" s="60"/>
      <c r="X7" s="37" t="s">
        <v>72</v>
      </c>
      <c r="Y7" s="38"/>
      <c r="Z7" s="38"/>
      <c r="AA7" s="38"/>
      <c r="AE7" s="28"/>
    </row>
    <row r="8" spans="1:32">
      <c r="E8" s="36"/>
      <c r="J8" s="27" t="s">
        <v>251</v>
      </c>
      <c r="K8" s="27" t="s">
        <v>252</v>
      </c>
      <c r="N8" s="31"/>
      <c r="P8" s="28" t="str">
        <f>T2 &amp; ", marge d'erreur " &amp; TEXT(T9,"#0%")</f>
        <v>Semi-variable, marge d'erreur 9%</v>
      </c>
      <c r="T8" s="27" t="s">
        <v>251</v>
      </c>
      <c r="U8" s="27" t="s">
        <v>252</v>
      </c>
      <c r="AE8" s="28"/>
    </row>
    <row r="9" spans="1:32" ht="15.75" thickBot="1">
      <c r="F9" s="28"/>
      <c r="G9" s="28" t="str">
        <f>L2 &amp; ", marge d'erreur " &amp; TEXT(J9,"#0%")</f>
        <v>Semi-variable, marge d'erreur 16%</v>
      </c>
      <c r="I9" s="28" t="s">
        <v>29</v>
      </c>
      <c r="J9" s="39">
        <f>J36 / H36</f>
        <v>0.16380875113582397</v>
      </c>
      <c r="K9" s="3">
        <f t="array" ref="K9">AVERAGE(ABS((G12:G35)-(H12:H35)))</f>
        <v>2876.3670799794877</v>
      </c>
      <c r="O9" s="28" t="s">
        <v>30</v>
      </c>
      <c r="P9" s="90">
        <v>0.25</v>
      </c>
      <c r="S9" s="28" t="s">
        <v>29</v>
      </c>
      <c r="T9" s="39">
        <f>T36 / R36</f>
        <v>9.0053543750237275E-2</v>
      </c>
      <c r="U9" s="3">
        <f t="array" ref="U9">AVERAGE(ABS((Q12:Q35)-(R12:R35)))</f>
        <v>1592.7136927745908</v>
      </c>
      <c r="Z9" s="28" t="s">
        <v>29</v>
      </c>
      <c r="AA9" s="39">
        <f>Y36 / H36</f>
        <v>0.16426160880245597</v>
      </c>
    </row>
    <row r="10" spans="1:32" ht="15.75" thickBot="1">
      <c r="B10" s="40"/>
      <c r="G10" s="28"/>
      <c r="I10" s="31"/>
      <c r="N10" s="3">
        <f>$F$36</f>
        <v>97.444489239933162</v>
      </c>
      <c r="O10" s="3">
        <f>$F$36</f>
        <v>97.444489239933162</v>
      </c>
      <c r="P10" s="3">
        <f>$G$36</f>
        <v>17559.300464933734</v>
      </c>
      <c r="Q10" s="3">
        <f>$G$36</f>
        <v>17559.300464933734</v>
      </c>
      <c r="Z10" s="28" t="s">
        <v>31</v>
      </c>
      <c r="AA10" s="68">
        <f>J9 - AA9</f>
        <v>-4.5285766663200056E-4</v>
      </c>
      <c r="AF10" s="89"/>
    </row>
    <row r="11" spans="1:32" ht="33">
      <c r="B11" s="29" t="s">
        <v>32</v>
      </c>
      <c r="C11" s="29" t="s">
        <v>33</v>
      </c>
      <c r="E11" s="29" t="s">
        <v>6</v>
      </c>
      <c r="F11" s="41" t="s">
        <v>34</v>
      </c>
      <c r="G11" s="41" t="s">
        <v>26</v>
      </c>
      <c r="H11" s="70" t="s">
        <v>35</v>
      </c>
      <c r="I11" s="29" t="s">
        <v>36</v>
      </c>
      <c r="J11" s="29" t="s">
        <v>37</v>
      </c>
      <c r="K11" s="29" t="s">
        <v>38</v>
      </c>
      <c r="L11" s="29" t="s">
        <v>39</v>
      </c>
      <c r="N11" s="42" t="s">
        <v>40</v>
      </c>
      <c r="O11" s="42" t="s">
        <v>142</v>
      </c>
      <c r="P11" s="42" t="s">
        <v>41</v>
      </c>
      <c r="Q11" s="42" t="s">
        <v>143</v>
      </c>
      <c r="R11" s="70" t="s">
        <v>35</v>
      </c>
      <c r="S11" s="29" t="s">
        <v>36</v>
      </c>
      <c r="T11" s="29" t="s">
        <v>37</v>
      </c>
      <c r="U11" s="29" t="s">
        <v>38</v>
      </c>
      <c r="V11" s="29" t="s">
        <v>39</v>
      </c>
      <c r="X11" s="29" t="s">
        <v>42</v>
      </c>
      <c r="Y11" s="29" t="s">
        <v>43</v>
      </c>
      <c r="Z11" s="29" t="s">
        <v>44</v>
      </c>
      <c r="AA11" s="29" t="s">
        <v>45</v>
      </c>
    </row>
    <row r="12" spans="1:32" ht="15.75">
      <c r="A12" s="43"/>
      <c r="B12" s="43">
        <v>-0.35875104326251284</v>
      </c>
      <c r="C12" s="43">
        <v>0.32530585948463359</v>
      </c>
      <c r="E12" s="4">
        <v>1</v>
      </c>
      <c r="F12" s="44">
        <f>$F$2 + B12 * $G$2</f>
        <v>89.237468702124616</v>
      </c>
      <c r="G12" s="44">
        <f>$F$5 + F12 * $G$5 + C12 * $H$5</f>
        <v>18561.102418134495</v>
      </c>
      <c r="H12" s="71">
        <f t="shared" ref="H12:H35" si="0">$K$5 + F12 * $L$5</f>
        <v>16835.764877692385</v>
      </c>
      <c r="I12" s="3">
        <f>G12-H12</f>
        <v>1725.3375404421095</v>
      </c>
      <c r="J12" s="3">
        <f>ABS(I12)</f>
        <v>1725.3375404421095</v>
      </c>
      <c r="K12" s="45">
        <f>I12 / H$12</f>
        <v>0.10248049631105297</v>
      </c>
      <c r="L12" s="45">
        <f>ABS(K12)</f>
        <v>0.10248049631105297</v>
      </c>
      <c r="N12" s="74">
        <f>$N$10 * $P$9 + (1-$P$9) * F12</f>
        <v>91.289223836576753</v>
      </c>
      <c r="O12" s="75">
        <f>$O$10 * $P$9 + (1-$P$9) * N12</f>
        <v>92.828040187415851</v>
      </c>
      <c r="P12" s="75">
        <f>$P$10 * $P$9 + (1-$P$9) * G12</f>
        <v>18310.651929834305</v>
      </c>
      <c r="Q12" s="76">
        <f>$Q$10 * $P$9 + (1-$P$9) * P12</f>
        <v>18122.814063609163</v>
      </c>
      <c r="R12" s="71">
        <f t="shared" ref="R12:R35" si="1">$S$5 + O12 * $T$5</f>
        <v>17131.041321776487</v>
      </c>
      <c r="S12" s="3">
        <f>Q12-R12</f>
        <v>991.77274183267582</v>
      </c>
      <c r="T12" s="3">
        <f>ABS(S12)</f>
        <v>991.77274183267582</v>
      </c>
      <c r="U12" s="45">
        <f>S12 / R12</f>
        <v>5.7893313267067009E-2</v>
      </c>
      <c r="V12" s="45">
        <f>T12 / R12</f>
        <v>5.7893313267067009E-2</v>
      </c>
      <c r="X12" s="3">
        <f t="shared" ref="X12:X35" si="2">G12 - R12</f>
        <v>1430.0610963580075</v>
      </c>
      <c r="Y12" s="3">
        <f>ABS(X12)</f>
        <v>1430.0610963580075</v>
      </c>
      <c r="Z12" s="45">
        <f>X12 / R12</f>
        <v>8.3477768192652416E-2</v>
      </c>
      <c r="AA12" s="45">
        <f>Y12 / R12</f>
        <v>8.3477768192652416E-2</v>
      </c>
    </row>
    <row r="13" spans="1:32" ht="15.75">
      <c r="A13" s="43"/>
      <c r="B13" s="43">
        <v>1.9698397018688294</v>
      </c>
      <c r="C13" s="43">
        <v>-2.1662470985705364</v>
      </c>
      <c r="E13" s="4">
        <v>2</v>
      </c>
      <c r="F13" s="44">
        <f t="shared" ref="F13:F35" si="3">$F$2 + B13 * $G$2</f>
        <v>159.09519105606489</v>
      </c>
      <c r="G13" s="44">
        <f t="shared" ref="G13:G35" si="4">$F$5 + F13 * $G$5 + C13 * $H$5</f>
        <v>17024.349944053905</v>
      </c>
      <c r="H13" s="71">
        <f t="shared" si="0"/>
        <v>22994.461317386907</v>
      </c>
      <c r="I13" s="3">
        <f t="shared" ref="I13:I35" si="5">G13-H13</f>
        <v>-5970.1113733330021</v>
      </c>
      <c r="J13" s="3">
        <f t="shared" ref="J13:J35" si="6">ABS(I13)</f>
        <v>5970.1113733330021</v>
      </c>
      <c r="K13" s="45">
        <f t="shared" ref="K13:K35" si="7">I13 / H13</f>
        <v>-0.25963258242622078</v>
      </c>
      <c r="L13" s="45">
        <f t="shared" ref="L13:L35" si="8">ABS(K13)</f>
        <v>0.25963258242622078</v>
      </c>
      <c r="N13" s="3">
        <f t="shared" ref="N13:N35" si="9">N12 * $P$9 + (1-$P$9) * F13</f>
        <v>142.14369925119286</v>
      </c>
      <c r="O13" s="3">
        <f t="shared" ref="O13:O35" si="10">O12 * $P$9 + (1-$P$9) * N13</f>
        <v>129.81478448524859</v>
      </c>
      <c r="P13" s="3">
        <f t="shared" ref="P13:P35" si="11">P12 * $P$9 + (1-$P$9) * G13</f>
        <v>17345.925440499006</v>
      </c>
      <c r="Q13" s="3">
        <f t="shared" ref="Q13:Q35" si="12">Q12 * $P$9 + (1-$P$9) * P13</f>
        <v>17540.147596276547</v>
      </c>
      <c r="R13" s="71">
        <f t="shared" si="1"/>
        <v>20758.916483280947</v>
      </c>
      <c r="S13" s="3">
        <f t="shared" ref="S13:S35" si="13">Q13-R13</f>
        <v>-3218.7688870044003</v>
      </c>
      <c r="T13" s="3">
        <f t="shared" ref="T13:T35" si="14">ABS(S13)</f>
        <v>3218.7688870044003</v>
      </c>
      <c r="U13" s="45">
        <f t="shared" ref="U13:U35" si="15">S13 / R13</f>
        <v>-0.15505476355650685</v>
      </c>
      <c r="V13" s="45">
        <f t="shared" ref="V13:V35" si="16">T13 / R13</f>
        <v>0.15505476355650685</v>
      </c>
      <c r="X13" s="3">
        <f t="shared" si="2"/>
        <v>-3734.5665392270421</v>
      </c>
      <c r="Y13" s="3">
        <f t="shared" ref="Y13:Y35" si="17">ABS(X13)</f>
        <v>3734.5665392270421</v>
      </c>
      <c r="Z13" s="45">
        <f t="shared" ref="Z13:Z35" si="18">X13 / R13</f>
        <v>-0.17990180471292083</v>
      </c>
      <c r="AA13" s="45">
        <f t="shared" ref="AA13:AA35" si="19">Y13 / R13</f>
        <v>0.17990180471292083</v>
      </c>
    </row>
    <row r="14" spans="1:32" ht="15.75">
      <c r="A14" s="43"/>
      <c r="B14" s="43">
        <v>-0.37185015441985603</v>
      </c>
      <c r="C14" s="43">
        <v>-0.7010197022450172</v>
      </c>
      <c r="E14" s="4">
        <v>3</v>
      </c>
      <c r="F14" s="44">
        <f t="shared" si="3"/>
        <v>88.844495367404321</v>
      </c>
      <c r="G14" s="44">
        <f t="shared" si="4"/>
        <v>15448.722999494315</v>
      </c>
      <c r="H14" s="71">
        <f t="shared" si="0"/>
        <v>16801.120125532063</v>
      </c>
      <c r="I14" s="3">
        <f t="shared" si="5"/>
        <v>-1352.3971260377475</v>
      </c>
      <c r="J14" s="3">
        <f t="shared" si="6"/>
        <v>1352.3971260377475</v>
      </c>
      <c r="K14" s="45">
        <f t="shared" si="7"/>
        <v>-8.0494462031883096E-2</v>
      </c>
      <c r="L14" s="45">
        <f t="shared" si="8"/>
        <v>8.0494462031883096E-2</v>
      </c>
      <c r="N14" s="3">
        <f t="shared" si="9"/>
        <v>102.16929633835146</v>
      </c>
      <c r="O14" s="3">
        <f t="shared" si="10"/>
        <v>109.08066837507575</v>
      </c>
      <c r="P14" s="3">
        <f t="shared" si="11"/>
        <v>15923.023609745487</v>
      </c>
      <c r="Q14" s="3">
        <f t="shared" si="12"/>
        <v>16327.304606378251</v>
      </c>
      <c r="R14" s="71">
        <f t="shared" si="1"/>
        <v>18725.193692593119</v>
      </c>
      <c r="S14" s="3">
        <f t="shared" si="13"/>
        <v>-2397.8890862148673</v>
      </c>
      <c r="T14" s="3">
        <f t="shared" si="14"/>
        <v>2397.8890862148673</v>
      </c>
      <c r="U14" s="45">
        <f t="shared" si="15"/>
        <v>-0.12805683751956964</v>
      </c>
      <c r="V14" s="45">
        <f t="shared" si="16"/>
        <v>0.12805683751956964</v>
      </c>
      <c r="X14" s="3">
        <f t="shared" si="2"/>
        <v>-3276.4706930988032</v>
      </c>
      <c r="Y14" s="3">
        <f t="shared" si="17"/>
        <v>3276.4706930988032</v>
      </c>
      <c r="Z14" s="45">
        <f t="shared" si="18"/>
        <v>-0.17497659820709005</v>
      </c>
      <c r="AA14" s="45">
        <f t="shared" si="19"/>
        <v>0.17497659820709005</v>
      </c>
    </row>
    <row r="15" spans="1:32" ht="15.75">
      <c r="A15" s="43"/>
      <c r="B15" s="43">
        <v>-1.8136776342294112</v>
      </c>
      <c r="C15" s="43">
        <v>0.77373353204469753</v>
      </c>
      <c r="E15" s="4">
        <v>4</v>
      </c>
      <c r="F15" s="44">
        <f t="shared" si="3"/>
        <v>45.589670973117663</v>
      </c>
      <c r="G15" s="44">
        <f t="shared" si="4"/>
        <v>16196.322628849093</v>
      </c>
      <c r="H15" s="71">
        <f t="shared" si="0"/>
        <v>12987.750264330463</v>
      </c>
      <c r="I15" s="3">
        <f t="shared" si="5"/>
        <v>3208.5723645186299</v>
      </c>
      <c r="J15" s="3">
        <f t="shared" si="6"/>
        <v>3208.5723645186299</v>
      </c>
      <c r="K15" s="45">
        <f t="shared" si="7"/>
        <v>0.24704604717651893</v>
      </c>
      <c r="L15" s="45">
        <f t="shared" si="8"/>
        <v>0.24704604717651893</v>
      </c>
      <c r="N15" s="3">
        <f t="shared" si="9"/>
        <v>59.734577314426105</v>
      </c>
      <c r="O15" s="3">
        <f t="shared" si="10"/>
        <v>72.071100079588518</v>
      </c>
      <c r="P15" s="3">
        <f t="shared" si="11"/>
        <v>16127.997874073193</v>
      </c>
      <c r="Q15" s="3">
        <f t="shared" si="12"/>
        <v>16177.824557149459</v>
      </c>
      <c r="R15" s="71">
        <f t="shared" si="1"/>
        <v>15095.079820551982</v>
      </c>
      <c r="S15" s="3">
        <f t="shared" si="13"/>
        <v>1082.7447365974767</v>
      </c>
      <c r="T15" s="3">
        <f t="shared" si="14"/>
        <v>1082.7447365974767</v>
      </c>
      <c r="U15" s="45">
        <f t="shared" si="15"/>
        <v>7.1728321378156448E-2</v>
      </c>
      <c r="V15" s="45">
        <f t="shared" si="16"/>
        <v>7.1728321378156448E-2</v>
      </c>
      <c r="X15" s="3">
        <f t="shared" si="2"/>
        <v>1101.242808297111</v>
      </c>
      <c r="Y15" s="3">
        <f t="shared" si="17"/>
        <v>1101.242808297111</v>
      </c>
      <c r="Z15" s="45">
        <f t="shared" si="18"/>
        <v>7.2953758535133195E-2</v>
      </c>
      <c r="AA15" s="45">
        <f t="shared" si="19"/>
        <v>7.2953758535133195E-2</v>
      </c>
    </row>
    <row r="16" spans="1:32" ht="15.75">
      <c r="A16" s="43"/>
      <c r="B16" s="43">
        <v>0.24141113206423293</v>
      </c>
      <c r="C16" s="43">
        <v>-1.1383247012128603</v>
      </c>
      <c r="E16" s="4">
        <v>5</v>
      </c>
      <c r="F16" s="44">
        <f t="shared" si="3"/>
        <v>107.24233396192699</v>
      </c>
      <c r="G16" s="44">
        <f t="shared" si="4"/>
        <v>15700.624283125211</v>
      </c>
      <c r="H16" s="71">
        <f t="shared" si="0"/>
        <v>18423.084014879656</v>
      </c>
      <c r="I16" s="3">
        <f t="shared" si="5"/>
        <v>-2722.4597317544449</v>
      </c>
      <c r="J16" s="3">
        <f t="shared" si="6"/>
        <v>2722.4597317544449</v>
      </c>
      <c r="K16" s="45">
        <f t="shared" si="7"/>
        <v>-0.14777437531933377</v>
      </c>
      <c r="L16" s="45">
        <f t="shared" si="8"/>
        <v>0.14777437531933377</v>
      </c>
      <c r="N16" s="3">
        <f t="shared" si="9"/>
        <v>95.365394800051774</v>
      </c>
      <c r="O16" s="3">
        <f t="shared" si="10"/>
        <v>89.54182111993596</v>
      </c>
      <c r="P16" s="3">
        <f t="shared" si="11"/>
        <v>15807.467680862206</v>
      </c>
      <c r="Q16" s="3">
        <f t="shared" si="12"/>
        <v>15900.056899934021</v>
      </c>
      <c r="R16" s="71">
        <f t="shared" si="1"/>
        <v>16808.709828250812</v>
      </c>
      <c r="S16" s="3">
        <f t="shared" si="13"/>
        <v>-908.65292831679108</v>
      </c>
      <c r="T16" s="3">
        <f t="shared" si="14"/>
        <v>908.65292831679108</v>
      </c>
      <c r="U16" s="45">
        <f t="shared" si="15"/>
        <v>-5.4058457644952367E-2</v>
      </c>
      <c r="V16" s="45">
        <f t="shared" si="16"/>
        <v>5.4058457644952367E-2</v>
      </c>
      <c r="X16" s="3">
        <f t="shared" si="2"/>
        <v>-1108.0855451256011</v>
      </c>
      <c r="Y16" s="3">
        <f t="shared" si="17"/>
        <v>1108.0855451256011</v>
      </c>
      <c r="Z16" s="45">
        <f t="shared" si="18"/>
        <v>-6.5923295508571067E-2</v>
      </c>
      <c r="AA16" s="45">
        <f t="shared" si="19"/>
        <v>6.5923295508571067E-2</v>
      </c>
    </row>
    <row r="17" spans="1:27" ht="15.75">
      <c r="A17" s="43"/>
      <c r="B17" s="43">
        <v>-2.1253848939130915</v>
      </c>
      <c r="C17" s="43">
        <v>-0.71602967293852327</v>
      </c>
      <c r="E17" s="4">
        <v>6</v>
      </c>
      <c r="F17" s="44">
        <f t="shared" si="3"/>
        <v>36.238453182607259</v>
      </c>
      <c r="G17" s="44">
        <f t="shared" si="4"/>
        <v>10932.179501706047</v>
      </c>
      <c r="H17" s="71">
        <f t="shared" si="0"/>
        <v>12163.341598078319</v>
      </c>
      <c r="I17" s="3">
        <f t="shared" si="5"/>
        <v>-1231.1620963722726</v>
      </c>
      <c r="J17" s="3">
        <f t="shared" si="6"/>
        <v>1231.1620963722726</v>
      </c>
      <c r="K17" s="45">
        <f t="shared" si="7"/>
        <v>-0.1012190676751842</v>
      </c>
      <c r="L17" s="45">
        <f t="shared" si="8"/>
        <v>0.1012190676751842</v>
      </c>
      <c r="N17" s="3">
        <f t="shared" si="9"/>
        <v>51.020188586968388</v>
      </c>
      <c r="O17" s="3">
        <f t="shared" si="10"/>
        <v>60.650596720210274</v>
      </c>
      <c r="P17" s="3">
        <f t="shared" si="11"/>
        <v>12151.001546495085</v>
      </c>
      <c r="Q17" s="3">
        <f t="shared" si="12"/>
        <v>13088.265384854818</v>
      </c>
      <c r="R17" s="71">
        <f t="shared" si="1"/>
        <v>13974.890378201027</v>
      </c>
      <c r="S17" s="3">
        <f t="shared" si="13"/>
        <v>-886.62499334620952</v>
      </c>
      <c r="T17" s="3">
        <f t="shared" si="14"/>
        <v>886.62499334620952</v>
      </c>
      <c r="U17" s="45">
        <f t="shared" si="15"/>
        <v>-6.3444146562267614E-2</v>
      </c>
      <c r="V17" s="45">
        <f t="shared" si="16"/>
        <v>6.3444146562267614E-2</v>
      </c>
      <c r="X17" s="3">
        <f t="shared" si="2"/>
        <v>-3042.7108764949808</v>
      </c>
      <c r="Y17" s="3">
        <f t="shared" si="17"/>
        <v>3042.7108764949808</v>
      </c>
      <c r="Z17" s="45">
        <f t="shared" si="18"/>
        <v>-0.21772699421250599</v>
      </c>
      <c r="AA17" s="45">
        <f t="shared" si="19"/>
        <v>0.21772699421250599</v>
      </c>
    </row>
    <row r="18" spans="1:27" ht="15.75">
      <c r="A18" s="43"/>
      <c r="B18" s="43">
        <v>-0.34414164066644226</v>
      </c>
      <c r="C18" s="43">
        <v>-9.8175636689707857E-2</v>
      </c>
      <c r="E18" s="4">
        <v>7</v>
      </c>
      <c r="F18" s="44">
        <f t="shared" si="3"/>
        <v>89.675750780006737</v>
      </c>
      <c r="G18" s="44">
        <f t="shared" si="4"/>
        <v>17327.911906231449</v>
      </c>
      <c r="H18" s="71">
        <f t="shared" si="0"/>
        <v>16874.404074357837</v>
      </c>
      <c r="I18" s="3">
        <f t="shared" si="5"/>
        <v>453.5078318736123</v>
      </c>
      <c r="J18" s="3">
        <f t="shared" si="6"/>
        <v>453.5078318736123</v>
      </c>
      <c r="K18" s="45">
        <f t="shared" si="7"/>
        <v>2.6875487269073871E-2</v>
      </c>
      <c r="L18" s="45">
        <f t="shared" si="8"/>
        <v>2.6875487269073871E-2</v>
      </c>
      <c r="N18" s="3">
        <f t="shared" si="9"/>
        <v>80.01186023174715</v>
      </c>
      <c r="O18" s="3">
        <f t="shared" si="10"/>
        <v>75.171544353862927</v>
      </c>
      <c r="P18" s="3">
        <f t="shared" si="11"/>
        <v>16033.684316297358</v>
      </c>
      <c r="Q18" s="3">
        <f t="shared" si="12"/>
        <v>15297.329583436724</v>
      </c>
      <c r="R18" s="71">
        <f t="shared" si="1"/>
        <v>15399.189441060753</v>
      </c>
      <c r="S18" s="3">
        <f t="shared" si="13"/>
        <v>-101.85985762402925</v>
      </c>
      <c r="T18" s="3">
        <f t="shared" si="14"/>
        <v>101.85985762402925</v>
      </c>
      <c r="U18" s="45">
        <f t="shared" si="15"/>
        <v>-6.6146246212432308E-3</v>
      </c>
      <c r="V18" s="45">
        <f t="shared" si="16"/>
        <v>6.6146246212432308E-3</v>
      </c>
      <c r="X18" s="3">
        <f t="shared" si="2"/>
        <v>1928.7224651706965</v>
      </c>
      <c r="Y18" s="3">
        <f t="shared" si="17"/>
        <v>1928.7224651706965</v>
      </c>
      <c r="Z18" s="45">
        <f t="shared" si="18"/>
        <v>0.12524831079926238</v>
      </c>
      <c r="AA18" s="45">
        <f t="shared" si="19"/>
        <v>0.12524831079926238</v>
      </c>
    </row>
    <row r="19" spans="1:27" ht="15.75">
      <c r="A19" s="43"/>
      <c r="B19" s="43">
        <v>4.7093524577803698E-2</v>
      </c>
      <c r="C19" s="43">
        <v>-6.7254498224200737E-2</v>
      </c>
      <c r="E19" s="4">
        <v>8</v>
      </c>
      <c r="F19" s="44">
        <f t="shared" si="3"/>
        <v>101.41280573733411</v>
      </c>
      <c r="G19" s="44">
        <f t="shared" si="4"/>
        <v>18418.324993000795</v>
      </c>
      <c r="H19" s="71">
        <f t="shared" si="0"/>
        <v>17909.149498950312</v>
      </c>
      <c r="I19" s="3">
        <f t="shared" si="5"/>
        <v>509.17549405048339</v>
      </c>
      <c r="J19" s="3">
        <f t="shared" si="6"/>
        <v>509.17549405048339</v>
      </c>
      <c r="K19" s="45">
        <f t="shared" si="7"/>
        <v>2.8431025944605975E-2</v>
      </c>
      <c r="L19" s="45">
        <f t="shared" si="8"/>
        <v>2.8431025944605975E-2</v>
      </c>
      <c r="N19" s="3">
        <f t="shared" si="9"/>
        <v>96.062569360937374</v>
      </c>
      <c r="O19" s="3">
        <f t="shared" si="10"/>
        <v>90.839813109168773</v>
      </c>
      <c r="P19" s="3">
        <f t="shared" si="11"/>
        <v>17822.164823824936</v>
      </c>
      <c r="Q19" s="3">
        <f t="shared" si="12"/>
        <v>17190.956013727882</v>
      </c>
      <c r="R19" s="71">
        <f t="shared" si="1"/>
        <v>16936.024437497061</v>
      </c>
      <c r="S19" s="3">
        <f t="shared" si="13"/>
        <v>254.93157623082152</v>
      </c>
      <c r="T19" s="3">
        <f t="shared" si="14"/>
        <v>254.93157623082152</v>
      </c>
      <c r="U19" s="45">
        <f t="shared" si="15"/>
        <v>1.5052622129334699E-2</v>
      </c>
      <c r="V19" s="45">
        <f t="shared" si="16"/>
        <v>1.5052622129334699E-2</v>
      </c>
      <c r="X19" s="3">
        <f t="shared" si="2"/>
        <v>1482.3005555037344</v>
      </c>
      <c r="Y19" s="3">
        <f t="shared" si="17"/>
        <v>1482.3005555037344</v>
      </c>
      <c r="Z19" s="45">
        <f t="shared" si="18"/>
        <v>8.7523524837497244E-2</v>
      </c>
      <c r="AA19" s="45">
        <f t="shared" si="19"/>
        <v>8.7523524837497244E-2</v>
      </c>
    </row>
    <row r="20" spans="1:27" ht="15.75">
      <c r="A20" s="43"/>
      <c r="B20" s="43">
        <v>2.2667611548241746</v>
      </c>
      <c r="C20" s="43">
        <v>2.6603285752709422</v>
      </c>
      <c r="E20" s="4">
        <v>9</v>
      </c>
      <c r="F20" s="44">
        <f t="shared" si="3"/>
        <v>168.00283464472523</v>
      </c>
      <c r="G20" s="44">
        <f t="shared" si="4"/>
        <v>32261.226670614473</v>
      </c>
      <c r="H20" s="71">
        <f t="shared" si="0"/>
        <v>23779.76423032186</v>
      </c>
      <c r="I20" s="3">
        <f t="shared" si="5"/>
        <v>8481.4624402926129</v>
      </c>
      <c r="J20" s="3">
        <f t="shared" si="6"/>
        <v>8481.4624402926129</v>
      </c>
      <c r="K20" s="45">
        <f t="shared" si="7"/>
        <v>0.35666722168245046</v>
      </c>
      <c r="L20" s="45">
        <f t="shared" si="8"/>
        <v>0.35666722168245046</v>
      </c>
      <c r="N20" s="3">
        <f t="shared" si="9"/>
        <v>150.01776832377826</v>
      </c>
      <c r="O20" s="3">
        <f t="shared" si="10"/>
        <v>135.22327952012589</v>
      </c>
      <c r="P20" s="3">
        <f t="shared" si="11"/>
        <v>28651.461208917088</v>
      </c>
      <c r="Q20" s="3">
        <f t="shared" si="12"/>
        <v>25786.334910119789</v>
      </c>
      <c r="R20" s="71">
        <f t="shared" si="1"/>
        <v>21289.413156363396</v>
      </c>
      <c r="S20" s="3">
        <f t="shared" si="13"/>
        <v>4496.9217537563927</v>
      </c>
      <c r="T20" s="3">
        <f t="shared" si="14"/>
        <v>4496.9217537563927</v>
      </c>
      <c r="U20" s="45">
        <f t="shared" si="15"/>
        <v>0.21122807475847519</v>
      </c>
      <c r="V20" s="45">
        <f t="shared" si="16"/>
        <v>0.21122807475847519</v>
      </c>
      <c r="X20" s="3">
        <f t="shared" si="2"/>
        <v>10971.813514251076</v>
      </c>
      <c r="Y20" s="3">
        <f t="shared" si="17"/>
        <v>10971.813514251076</v>
      </c>
      <c r="Z20" s="45">
        <f t="shared" si="18"/>
        <v>0.51536476997589786</v>
      </c>
      <c r="AA20" s="45">
        <f t="shared" si="19"/>
        <v>0.51536476997589786</v>
      </c>
    </row>
    <row r="21" spans="1:27" ht="15.75">
      <c r="A21" s="43"/>
      <c r="B21" s="43">
        <v>0.2299058531593513</v>
      </c>
      <c r="C21" s="43">
        <v>0.37475558925373786</v>
      </c>
      <c r="E21" s="4">
        <v>10</v>
      </c>
      <c r="F21" s="44">
        <f t="shared" si="3"/>
        <v>106.89717559478053</v>
      </c>
      <c r="G21" s="44">
        <f t="shared" si="4"/>
        <v>20210.526693317559</v>
      </c>
      <c r="H21" s="71">
        <f t="shared" si="0"/>
        <v>18392.654657390653</v>
      </c>
      <c r="I21" s="3">
        <f t="shared" si="5"/>
        <v>1817.8720359269064</v>
      </c>
      <c r="J21" s="3">
        <f t="shared" si="6"/>
        <v>1817.8720359269064</v>
      </c>
      <c r="K21" s="45">
        <f t="shared" si="7"/>
        <v>9.8836849263433404E-2</v>
      </c>
      <c r="L21" s="45">
        <f t="shared" si="8"/>
        <v>9.8836849263433404E-2</v>
      </c>
      <c r="N21" s="3">
        <f t="shared" si="9"/>
        <v>117.67732377702995</v>
      </c>
      <c r="O21" s="3">
        <f t="shared" si="10"/>
        <v>122.06381271280392</v>
      </c>
      <c r="P21" s="3">
        <f t="shared" si="11"/>
        <v>22320.76032221744</v>
      </c>
      <c r="Q21" s="3">
        <f t="shared" si="12"/>
        <v>23187.15396919303</v>
      </c>
      <c r="R21" s="71">
        <f t="shared" si="1"/>
        <v>19998.656057428274</v>
      </c>
      <c r="S21" s="3">
        <f t="shared" si="13"/>
        <v>3188.4979117647563</v>
      </c>
      <c r="T21" s="3">
        <f t="shared" si="14"/>
        <v>3188.4979117647563</v>
      </c>
      <c r="U21" s="45">
        <f t="shared" si="15"/>
        <v>0.15943560920337069</v>
      </c>
      <c r="V21" s="45">
        <f t="shared" si="16"/>
        <v>0.15943560920337069</v>
      </c>
      <c r="X21" s="3">
        <f t="shared" si="2"/>
        <v>211.87063588928504</v>
      </c>
      <c r="Y21" s="3">
        <f t="shared" si="17"/>
        <v>211.87063588928504</v>
      </c>
      <c r="Z21" s="45">
        <f t="shared" si="18"/>
        <v>1.0594243697220248E-2</v>
      </c>
      <c r="AA21" s="45">
        <f t="shared" si="19"/>
        <v>1.0594243697220248E-2</v>
      </c>
    </row>
    <row r="22" spans="1:27" ht="15.75">
      <c r="A22" s="43"/>
      <c r="B22" s="43">
        <v>1.0571224976030771</v>
      </c>
      <c r="C22" s="43">
        <v>-0.95452449982770393</v>
      </c>
      <c r="E22" s="4">
        <v>11</v>
      </c>
      <c r="F22" s="44">
        <f t="shared" si="3"/>
        <v>131.7136749280923</v>
      </c>
      <c r="G22" s="44">
        <f t="shared" si="4"/>
        <v>18332.088869404735</v>
      </c>
      <c r="H22" s="71">
        <f t="shared" si="0"/>
        <v>20580.491319390385</v>
      </c>
      <c r="I22" s="3">
        <f t="shared" si="5"/>
        <v>-2248.4024499856496</v>
      </c>
      <c r="J22" s="3">
        <f t="shared" si="6"/>
        <v>2248.4024499856496</v>
      </c>
      <c r="K22" s="45">
        <f t="shared" si="7"/>
        <v>-0.10924921155148834</v>
      </c>
      <c r="L22" s="45">
        <f t="shared" si="8"/>
        <v>0.10924921155148834</v>
      </c>
      <c r="N22" s="3">
        <f t="shared" si="9"/>
        <v>128.20458714032671</v>
      </c>
      <c r="O22" s="3">
        <f t="shared" si="10"/>
        <v>126.66939353344603</v>
      </c>
      <c r="P22" s="3">
        <f t="shared" si="11"/>
        <v>19329.256732607912</v>
      </c>
      <c r="Q22" s="3">
        <f t="shared" si="12"/>
        <v>20293.731041754188</v>
      </c>
      <c r="R22" s="71">
        <f t="shared" si="1"/>
        <v>20450.398231028776</v>
      </c>
      <c r="S22" s="3">
        <f t="shared" si="13"/>
        <v>-156.66718927458714</v>
      </c>
      <c r="T22" s="3">
        <f t="shared" si="14"/>
        <v>156.66718927458714</v>
      </c>
      <c r="U22" s="45">
        <f t="shared" si="15"/>
        <v>-7.6608380680274835E-3</v>
      </c>
      <c r="V22" s="45">
        <f t="shared" si="16"/>
        <v>7.6608380680274835E-3</v>
      </c>
      <c r="X22" s="3">
        <f t="shared" si="2"/>
        <v>-2118.3093616240403</v>
      </c>
      <c r="Y22" s="3">
        <f t="shared" si="17"/>
        <v>2118.3093616240403</v>
      </c>
      <c r="Z22" s="45">
        <f t="shared" si="18"/>
        <v>-0.10358279275021613</v>
      </c>
      <c r="AA22" s="45">
        <f t="shared" si="19"/>
        <v>0.10358279275021613</v>
      </c>
    </row>
    <row r="23" spans="1:27" ht="15.75">
      <c r="A23" s="43"/>
      <c r="B23" s="43">
        <v>0.58549568015878062</v>
      </c>
      <c r="C23" s="43">
        <v>-0.84227283638897099</v>
      </c>
      <c r="E23" s="4">
        <v>12</v>
      </c>
      <c r="F23" s="44">
        <f t="shared" si="3"/>
        <v>117.56487040476341</v>
      </c>
      <c r="G23" s="44">
        <f t="shared" si="4"/>
        <v>17466.195475237975</v>
      </c>
      <c r="H23" s="71">
        <f t="shared" si="0"/>
        <v>19333.124684642888</v>
      </c>
      <c r="I23" s="3">
        <f t="shared" si="5"/>
        <v>-1866.9292094049124</v>
      </c>
      <c r="J23" s="3">
        <f t="shared" si="6"/>
        <v>1866.9292094049124</v>
      </c>
      <c r="K23" s="46">
        <f t="shared" si="7"/>
        <v>-9.6566346095512054E-2</v>
      </c>
      <c r="L23" s="46">
        <f t="shared" si="8"/>
        <v>9.6566346095512054E-2</v>
      </c>
      <c r="N23" s="3">
        <f t="shared" si="9"/>
        <v>120.22479958865424</v>
      </c>
      <c r="O23" s="3">
        <f t="shared" si="10"/>
        <v>121.83594807485218</v>
      </c>
      <c r="P23" s="3">
        <f t="shared" si="11"/>
        <v>17931.960789580458</v>
      </c>
      <c r="Q23" s="3">
        <f t="shared" si="12"/>
        <v>18522.403352623893</v>
      </c>
      <c r="R23" s="71">
        <f t="shared" si="1"/>
        <v>19976.305767455367</v>
      </c>
      <c r="S23" s="3">
        <f t="shared" si="13"/>
        <v>-1453.9024148314747</v>
      </c>
      <c r="T23" s="3">
        <f t="shared" si="14"/>
        <v>1453.9024148314747</v>
      </c>
      <c r="U23" s="45">
        <f t="shared" si="15"/>
        <v>-7.2781345648008491E-2</v>
      </c>
      <c r="V23" s="45">
        <f t="shared" si="16"/>
        <v>7.2781345648008491E-2</v>
      </c>
      <c r="X23" s="3">
        <f t="shared" si="2"/>
        <v>-2510.1102922173923</v>
      </c>
      <c r="Y23" s="3">
        <f t="shared" si="17"/>
        <v>2510.1102922173923</v>
      </c>
      <c r="Z23" s="45">
        <f t="shared" si="18"/>
        <v>-0.12565437881446367</v>
      </c>
      <c r="AA23" s="45">
        <f t="shared" si="19"/>
        <v>0.12565437881446367</v>
      </c>
    </row>
    <row r="24" spans="1:27" ht="15.75">
      <c r="A24" s="43"/>
      <c r="B24" s="43">
        <v>0.12445289225725623</v>
      </c>
      <c r="C24" s="43">
        <v>1.184921452313596</v>
      </c>
      <c r="E24" s="4">
        <v>13</v>
      </c>
      <c r="F24" s="44">
        <f t="shared" si="3"/>
        <v>103.73358676771768</v>
      </c>
      <c r="G24" s="44">
        <f t="shared" si="4"/>
        <v>22372.11923219679</v>
      </c>
      <c r="H24" s="71">
        <f t="shared" si="0"/>
        <v>18113.750871390101</v>
      </c>
      <c r="I24" s="3">
        <f t="shared" si="5"/>
        <v>4258.3683608066895</v>
      </c>
      <c r="J24" s="3">
        <f t="shared" si="6"/>
        <v>4258.3683608066895</v>
      </c>
      <c r="K24" s="46">
        <f t="shared" si="7"/>
        <v>0.23509036814305539</v>
      </c>
      <c r="L24" s="46">
        <f t="shared" si="8"/>
        <v>0.23509036814305539</v>
      </c>
      <c r="N24" s="3">
        <f t="shared" si="9"/>
        <v>107.85638997295183</v>
      </c>
      <c r="O24" s="3">
        <f t="shared" si="10"/>
        <v>111.35127949842692</v>
      </c>
      <c r="P24" s="3">
        <f t="shared" si="11"/>
        <v>21262.079621542704</v>
      </c>
      <c r="Q24" s="3">
        <f t="shared" si="12"/>
        <v>20577.160554312999</v>
      </c>
      <c r="R24" s="71">
        <f t="shared" si="1"/>
        <v>18947.908447628321</v>
      </c>
      <c r="S24" s="3">
        <f t="shared" si="13"/>
        <v>1629.2521066846784</v>
      </c>
      <c r="T24" s="3">
        <f t="shared" si="14"/>
        <v>1629.2521066846784</v>
      </c>
      <c r="U24" s="45">
        <f t="shared" si="15"/>
        <v>8.5985854913110962E-2</v>
      </c>
      <c r="V24" s="45">
        <f t="shared" si="16"/>
        <v>8.5985854913110962E-2</v>
      </c>
      <c r="X24" s="3">
        <f t="shared" si="2"/>
        <v>3424.2107845684695</v>
      </c>
      <c r="Y24" s="3">
        <f t="shared" si="17"/>
        <v>3424.2107845684695</v>
      </c>
      <c r="Z24" s="45">
        <f t="shared" si="18"/>
        <v>0.18071708516182283</v>
      </c>
      <c r="AA24" s="45">
        <f t="shared" si="19"/>
        <v>0.18071708516182283</v>
      </c>
    </row>
    <row r="25" spans="1:27" ht="15.75">
      <c r="A25" s="43"/>
      <c r="B25" s="43">
        <v>0.52222811952192016</v>
      </c>
      <c r="C25" s="43">
        <v>-0.62328711498099787</v>
      </c>
      <c r="E25" s="4">
        <v>14</v>
      </c>
      <c r="F25" s="44">
        <f t="shared" si="3"/>
        <v>115.6668435856576</v>
      </c>
      <c r="G25" s="44">
        <f t="shared" si="4"/>
        <v>17961.8203598379</v>
      </c>
      <c r="H25" s="71">
        <f t="shared" si="0"/>
        <v>19165.793563338266</v>
      </c>
      <c r="I25" s="3">
        <f t="shared" si="5"/>
        <v>-1203.9732035003653</v>
      </c>
      <c r="J25" s="3">
        <f t="shared" si="6"/>
        <v>1203.9732035003653</v>
      </c>
      <c r="K25" s="45">
        <f t="shared" si="7"/>
        <v>-6.2818854827040055E-2</v>
      </c>
      <c r="L25" s="45">
        <f t="shared" si="8"/>
        <v>6.2818854827040055E-2</v>
      </c>
      <c r="N25" s="3">
        <f t="shared" si="9"/>
        <v>113.71423018248116</v>
      </c>
      <c r="O25" s="3">
        <f t="shared" si="10"/>
        <v>113.12349251146759</v>
      </c>
      <c r="P25" s="3">
        <f t="shared" si="11"/>
        <v>18786.885175264099</v>
      </c>
      <c r="Q25" s="3">
        <f t="shared" si="12"/>
        <v>19234.454020026322</v>
      </c>
      <c r="R25" s="71">
        <f t="shared" si="1"/>
        <v>19121.737415085776</v>
      </c>
      <c r="S25" s="3">
        <f t="shared" si="13"/>
        <v>112.71660494054595</v>
      </c>
      <c r="T25" s="3">
        <f t="shared" si="14"/>
        <v>112.71660494054595</v>
      </c>
      <c r="U25" s="45">
        <f t="shared" si="15"/>
        <v>5.8946842796627919E-3</v>
      </c>
      <c r="V25" s="45">
        <f t="shared" si="16"/>
        <v>5.8946842796627919E-3</v>
      </c>
      <c r="X25" s="3">
        <f t="shared" si="2"/>
        <v>-1159.9170552478754</v>
      </c>
      <c r="Y25" s="3">
        <f t="shared" si="17"/>
        <v>1159.9170552478754</v>
      </c>
      <c r="Z25" s="45">
        <f t="shared" si="18"/>
        <v>-6.0659605875184659E-2</v>
      </c>
      <c r="AA25" s="45">
        <f t="shared" si="19"/>
        <v>6.0659605875184659E-2</v>
      </c>
    </row>
    <row r="26" spans="1:27" ht="15.75">
      <c r="A26" s="43"/>
      <c r="B26" s="43">
        <v>-0.34594928830050664</v>
      </c>
      <c r="C26" s="43">
        <v>-2.0321702650603752</v>
      </c>
      <c r="E26" s="4">
        <v>15</v>
      </c>
      <c r="F26" s="44">
        <f t="shared" si="3"/>
        <v>89.621521350984807</v>
      </c>
      <c r="G26" s="44">
        <f t="shared" si="4"/>
        <v>11521.318519652585</v>
      </c>
      <c r="H26" s="71">
        <f t="shared" si="0"/>
        <v>16869.623177125719</v>
      </c>
      <c r="I26" s="3">
        <f t="shared" si="5"/>
        <v>-5348.3046574731343</v>
      </c>
      <c r="J26" s="3">
        <f t="shared" si="6"/>
        <v>5348.3046574731343</v>
      </c>
      <c r="K26" s="45">
        <f t="shared" si="7"/>
        <v>-0.31703758888492195</v>
      </c>
      <c r="L26" s="45">
        <f t="shared" si="8"/>
        <v>0.31703758888492195</v>
      </c>
      <c r="N26" s="3">
        <f t="shared" si="9"/>
        <v>95.644698558858892</v>
      </c>
      <c r="O26" s="3">
        <f t="shared" si="10"/>
        <v>100.01439704701107</v>
      </c>
      <c r="P26" s="3">
        <f t="shared" si="11"/>
        <v>13337.710183555462</v>
      </c>
      <c r="Q26" s="3">
        <f t="shared" si="12"/>
        <v>14811.896142673177</v>
      </c>
      <c r="R26" s="71">
        <f t="shared" si="1"/>
        <v>17835.92103064452</v>
      </c>
      <c r="S26" s="3">
        <f t="shared" si="13"/>
        <v>-3024.0248879713436</v>
      </c>
      <c r="T26" s="3">
        <f t="shared" si="14"/>
        <v>3024.0248879713436</v>
      </c>
      <c r="U26" s="45">
        <f t="shared" si="15"/>
        <v>-0.1695468870251029</v>
      </c>
      <c r="V26" s="45">
        <f t="shared" si="16"/>
        <v>0.1695468870251029</v>
      </c>
      <c r="X26" s="3">
        <f t="shared" si="2"/>
        <v>-6314.6025109919356</v>
      </c>
      <c r="Y26" s="3">
        <f t="shared" si="17"/>
        <v>6314.6025109919356</v>
      </c>
      <c r="Z26" s="45">
        <f t="shared" si="18"/>
        <v>-0.35403848784386271</v>
      </c>
      <c r="AA26" s="45">
        <f t="shared" si="19"/>
        <v>0.35403848784386271</v>
      </c>
    </row>
    <row r="27" spans="1:27" ht="15.75">
      <c r="A27" s="43"/>
      <c r="B27" s="43">
        <v>1.0269861812534797</v>
      </c>
      <c r="C27" s="43">
        <v>1.1582283618771934</v>
      </c>
      <c r="E27" s="4">
        <v>16</v>
      </c>
      <c r="F27" s="44">
        <f t="shared" si="3"/>
        <v>130.8095854376044</v>
      </c>
      <c r="G27" s="44">
        <f t="shared" si="4"/>
        <v>24593.499847827952</v>
      </c>
      <c r="H27" s="71">
        <f t="shared" si="0"/>
        <v>20500.786276932486</v>
      </c>
      <c r="I27" s="3">
        <f t="shared" si="5"/>
        <v>4092.7135708954665</v>
      </c>
      <c r="J27" s="3">
        <f t="shared" si="6"/>
        <v>4092.7135708954665</v>
      </c>
      <c r="K27" s="45">
        <f t="shared" si="7"/>
        <v>0.19963690736586986</v>
      </c>
      <c r="L27" s="45">
        <f t="shared" si="8"/>
        <v>0.19963690736586986</v>
      </c>
      <c r="N27" s="3">
        <f t="shared" si="9"/>
        <v>122.01836371791802</v>
      </c>
      <c r="O27" s="3">
        <f t="shared" si="10"/>
        <v>116.51737205019128</v>
      </c>
      <c r="P27" s="3">
        <f t="shared" si="11"/>
        <v>21779.552431759832</v>
      </c>
      <c r="Q27" s="3">
        <f t="shared" si="12"/>
        <v>20037.63835948817</v>
      </c>
      <c r="R27" s="71">
        <f t="shared" si="1"/>
        <v>19454.62887426715</v>
      </c>
      <c r="S27" s="3">
        <f t="shared" si="13"/>
        <v>583.00948522102044</v>
      </c>
      <c r="T27" s="3">
        <f t="shared" si="14"/>
        <v>583.00948522102044</v>
      </c>
      <c r="U27" s="45">
        <f t="shared" si="15"/>
        <v>2.9967648778547171E-2</v>
      </c>
      <c r="V27" s="45">
        <f t="shared" si="16"/>
        <v>2.9967648778547171E-2</v>
      </c>
      <c r="X27" s="3">
        <f t="shared" si="2"/>
        <v>5138.8709735608027</v>
      </c>
      <c r="Y27" s="3">
        <f t="shared" si="17"/>
        <v>5138.8709735608027</v>
      </c>
      <c r="Z27" s="45">
        <f t="shared" si="18"/>
        <v>0.26414644076598365</v>
      </c>
      <c r="AA27" s="45">
        <f t="shared" si="19"/>
        <v>0.26414644076598365</v>
      </c>
    </row>
    <row r="28" spans="1:27" ht="15.75">
      <c r="A28" s="43"/>
      <c r="B28" s="43">
        <v>-0.89552211459910835</v>
      </c>
      <c r="C28" s="43">
        <v>-2.5172853577263568</v>
      </c>
      <c r="E28" s="4">
        <v>17</v>
      </c>
      <c r="F28" s="44">
        <f t="shared" si="3"/>
        <v>73.134336562026746</v>
      </c>
      <c r="G28" s="44">
        <f t="shared" si="4"/>
        <v>8664.5625345932021</v>
      </c>
      <c r="H28" s="71">
        <f t="shared" si="0"/>
        <v>15416.103611373452</v>
      </c>
      <c r="I28" s="3">
        <f t="shared" si="5"/>
        <v>-6751.5410767802496</v>
      </c>
      <c r="J28" s="3">
        <f t="shared" si="6"/>
        <v>6751.5410767802496</v>
      </c>
      <c r="K28" s="45">
        <f t="shared" si="7"/>
        <v>-0.43795379474481499</v>
      </c>
      <c r="L28" s="45">
        <f t="shared" si="8"/>
        <v>0.43795379474481499</v>
      </c>
      <c r="N28" s="3">
        <f t="shared" si="9"/>
        <v>85.355343350999561</v>
      </c>
      <c r="O28" s="3">
        <f t="shared" si="10"/>
        <v>93.145850525797499</v>
      </c>
      <c r="P28" s="3">
        <f t="shared" si="11"/>
        <v>11943.310008884859</v>
      </c>
      <c r="Q28" s="3">
        <f t="shared" si="12"/>
        <v>13966.892096535687</v>
      </c>
      <c r="R28" s="71">
        <f t="shared" si="1"/>
        <v>17162.214009575117</v>
      </c>
      <c r="S28" s="3">
        <f t="shared" si="13"/>
        <v>-3195.32191303943</v>
      </c>
      <c r="T28" s="3">
        <f t="shared" si="14"/>
        <v>3195.32191303943</v>
      </c>
      <c r="U28" s="45">
        <f t="shared" si="15"/>
        <v>-0.18618354900228495</v>
      </c>
      <c r="V28" s="45">
        <f t="shared" si="16"/>
        <v>0.18618354900228495</v>
      </c>
      <c r="X28" s="3">
        <f t="shared" si="2"/>
        <v>-8497.6514749819144</v>
      </c>
      <c r="Y28" s="3">
        <f t="shared" si="17"/>
        <v>8497.6514749819144</v>
      </c>
      <c r="Z28" s="45">
        <f t="shared" si="18"/>
        <v>-0.49513725153648108</v>
      </c>
      <c r="AA28" s="45">
        <f t="shared" si="19"/>
        <v>0.49513725153648108</v>
      </c>
    </row>
    <row r="29" spans="1:27" ht="15.75">
      <c r="A29" s="43"/>
      <c r="B29" s="43">
        <v>0.14107535500183135</v>
      </c>
      <c r="C29" s="43">
        <v>-0.73655930953528137</v>
      </c>
      <c r="E29" s="4">
        <v>18</v>
      </c>
      <c r="F29" s="44">
        <f t="shared" si="3"/>
        <v>104.23226065005494</v>
      </c>
      <c r="G29" s="44">
        <f t="shared" si="4"/>
        <v>16650.064226648825</v>
      </c>
      <c r="H29" s="71">
        <f t="shared" si="0"/>
        <v>18157.714243802369</v>
      </c>
      <c r="I29" s="3">
        <f t="shared" si="5"/>
        <v>-1507.6500171535445</v>
      </c>
      <c r="J29" s="3">
        <f t="shared" si="6"/>
        <v>1507.6500171535445</v>
      </c>
      <c r="K29" s="45">
        <f t="shared" si="7"/>
        <v>-8.303082628740778E-2</v>
      </c>
      <c r="L29" s="45">
        <f t="shared" si="8"/>
        <v>8.303082628740778E-2</v>
      </c>
      <c r="N29" s="3">
        <f t="shared" si="9"/>
        <v>99.513031325291081</v>
      </c>
      <c r="O29" s="3">
        <f t="shared" si="10"/>
        <v>97.921236125417693</v>
      </c>
      <c r="P29" s="3">
        <f t="shared" si="11"/>
        <v>15473.375672207832</v>
      </c>
      <c r="Q29" s="3">
        <f t="shared" si="12"/>
        <v>15096.754778289796</v>
      </c>
      <c r="R29" s="71">
        <f t="shared" si="1"/>
        <v>17630.611624243877</v>
      </c>
      <c r="S29" s="3">
        <f t="shared" si="13"/>
        <v>-2533.8568459540802</v>
      </c>
      <c r="T29" s="3">
        <f t="shared" si="14"/>
        <v>2533.8568459540802</v>
      </c>
      <c r="U29" s="45">
        <f t="shared" si="15"/>
        <v>-0.14371916867987555</v>
      </c>
      <c r="V29" s="45">
        <f t="shared" si="16"/>
        <v>0.14371916867987555</v>
      </c>
      <c r="X29" s="3">
        <f t="shared" si="2"/>
        <v>-980.54739759505173</v>
      </c>
      <c r="Y29" s="3">
        <f t="shared" si="17"/>
        <v>980.54739759505173</v>
      </c>
      <c r="Z29" s="45">
        <f t="shared" si="18"/>
        <v>-5.5616187259590007E-2</v>
      </c>
      <c r="AA29" s="45">
        <f t="shared" si="19"/>
        <v>5.5616187259590007E-2</v>
      </c>
    </row>
    <row r="30" spans="1:27" ht="15.75">
      <c r="A30" s="43"/>
      <c r="B30" s="43">
        <v>-0.47468214990358332</v>
      </c>
      <c r="C30" s="43">
        <v>1.6533802423990489</v>
      </c>
      <c r="E30" s="4">
        <v>19</v>
      </c>
      <c r="F30" s="44">
        <f t="shared" si="3"/>
        <v>85.759535502892504</v>
      </c>
      <c r="G30" s="44">
        <f t="shared" si="4"/>
        <v>22249.701244943011</v>
      </c>
      <c r="H30" s="71">
        <f t="shared" si="0"/>
        <v>16529.148313483747</v>
      </c>
      <c r="I30" s="3">
        <f t="shared" si="5"/>
        <v>5720.5529314592641</v>
      </c>
      <c r="J30" s="3">
        <f t="shared" si="6"/>
        <v>5720.5529314592641</v>
      </c>
      <c r="K30" s="45">
        <f t="shared" si="7"/>
        <v>0.34608878951087213</v>
      </c>
      <c r="L30" s="45">
        <f t="shared" si="8"/>
        <v>0.34608878951087213</v>
      </c>
      <c r="N30" s="3">
        <f t="shared" si="9"/>
        <v>89.197909458492148</v>
      </c>
      <c r="O30" s="3">
        <f t="shared" si="10"/>
        <v>91.378741125223527</v>
      </c>
      <c r="P30" s="3">
        <f t="shared" si="11"/>
        <v>20555.619851759213</v>
      </c>
      <c r="Q30" s="3">
        <f t="shared" si="12"/>
        <v>19190.903583391861</v>
      </c>
      <c r="R30" s="71">
        <f t="shared" si="1"/>
        <v>16988.885634133891</v>
      </c>
      <c r="S30" s="3">
        <f t="shared" si="13"/>
        <v>2202.01794925797</v>
      </c>
      <c r="T30" s="3">
        <f t="shared" si="14"/>
        <v>2202.01794925797</v>
      </c>
      <c r="U30" s="45">
        <f t="shared" si="15"/>
        <v>0.1296152082414222</v>
      </c>
      <c r="V30" s="45">
        <f t="shared" si="16"/>
        <v>0.1296152082414222</v>
      </c>
      <c r="X30" s="3">
        <f t="shared" si="2"/>
        <v>5260.8156108091207</v>
      </c>
      <c r="Y30" s="3">
        <f t="shared" si="17"/>
        <v>5260.8156108091207</v>
      </c>
      <c r="Z30" s="45">
        <f t="shared" si="18"/>
        <v>0.30966219469034184</v>
      </c>
      <c r="AA30" s="45">
        <f t="shared" si="19"/>
        <v>0.30966219469034184</v>
      </c>
    </row>
    <row r="31" spans="1:27" ht="15.75">
      <c r="A31" s="43"/>
      <c r="B31" s="43">
        <v>-6.8837118078875284E-3</v>
      </c>
      <c r="C31" s="43">
        <v>3.9578935519201164E-2</v>
      </c>
      <c r="E31" s="4">
        <v>20</v>
      </c>
      <c r="F31" s="44">
        <f t="shared" si="3"/>
        <v>99.793488645763375</v>
      </c>
      <c r="G31" s="44">
        <f t="shared" si="4"/>
        <v>18601.183341447493</v>
      </c>
      <c r="H31" s="71">
        <f t="shared" si="0"/>
        <v>17766.389585363882</v>
      </c>
      <c r="I31" s="3">
        <f t="shared" si="5"/>
        <v>834.79375608361079</v>
      </c>
      <c r="J31" s="3">
        <f t="shared" si="6"/>
        <v>834.79375608361079</v>
      </c>
      <c r="K31" s="45">
        <f t="shared" si="7"/>
        <v>4.6987248144739639E-2</v>
      </c>
      <c r="L31" s="45">
        <f t="shared" si="8"/>
        <v>4.6987248144739639E-2</v>
      </c>
      <c r="N31" s="3">
        <f t="shared" si="9"/>
        <v>97.144593848945561</v>
      </c>
      <c r="O31" s="3">
        <f t="shared" si="10"/>
        <v>95.703130668015064</v>
      </c>
      <c r="P31" s="3">
        <f t="shared" si="11"/>
        <v>19089.792469025422</v>
      </c>
      <c r="Q31" s="3">
        <f t="shared" si="12"/>
        <v>19115.070247617034</v>
      </c>
      <c r="R31" s="71">
        <f t="shared" si="1"/>
        <v>17413.046930533324</v>
      </c>
      <c r="S31" s="3">
        <f t="shared" si="13"/>
        <v>1702.0233170837091</v>
      </c>
      <c r="T31" s="3">
        <f t="shared" si="14"/>
        <v>1702.0233170837091</v>
      </c>
      <c r="U31" s="45">
        <f t="shared" si="15"/>
        <v>9.7744141153106034E-2</v>
      </c>
      <c r="V31" s="45">
        <f t="shared" si="16"/>
        <v>9.7744141153106034E-2</v>
      </c>
      <c r="X31" s="3">
        <f t="shared" si="2"/>
        <v>1188.1364109141687</v>
      </c>
      <c r="Y31" s="3">
        <f t="shared" si="17"/>
        <v>1188.1364109141687</v>
      </c>
      <c r="Z31" s="45">
        <f t="shared" si="18"/>
        <v>6.8232539408758064E-2</v>
      </c>
      <c r="AA31" s="45">
        <f t="shared" si="19"/>
        <v>6.8232539408758064E-2</v>
      </c>
    </row>
    <row r="32" spans="1:27" ht="15.75">
      <c r="A32" s="43"/>
      <c r="B32" s="43">
        <v>2.1860349355662612</v>
      </c>
      <c r="C32" s="43">
        <v>-0.7640723118516386</v>
      </c>
      <c r="E32" s="4">
        <v>21</v>
      </c>
      <c r="F32" s="44">
        <f t="shared" si="3"/>
        <v>165.58104806698782</v>
      </c>
      <c r="G32" s="44">
        <f t="shared" si="4"/>
        <v>21782.172150139049</v>
      </c>
      <c r="H32" s="71">
        <f t="shared" si="0"/>
        <v>23566.258151517242</v>
      </c>
      <c r="I32" s="3">
        <f t="shared" si="5"/>
        <v>-1784.086001378193</v>
      </c>
      <c r="J32" s="3">
        <f t="shared" si="6"/>
        <v>1784.086001378193</v>
      </c>
      <c r="K32" s="45">
        <f t="shared" si="7"/>
        <v>-7.5705103029406057E-2</v>
      </c>
      <c r="L32" s="45">
        <f t="shared" si="8"/>
        <v>7.5705103029406057E-2</v>
      </c>
      <c r="N32" s="3">
        <f t="shared" si="9"/>
        <v>148.47193451247725</v>
      </c>
      <c r="O32" s="3">
        <f t="shared" si="10"/>
        <v>135.27973355136172</v>
      </c>
      <c r="P32" s="3">
        <f t="shared" si="11"/>
        <v>21109.077229860643</v>
      </c>
      <c r="Q32" s="3">
        <f t="shared" si="12"/>
        <v>20610.575484299741</v>
      </c>
      <c r="R32" s="71">
        <f t="shared" si="1"/>
        <v>21294.950496336824</v>
      </c>
      <c r="S32" s="3">
        <f t="shared" si="13"/>
        <v>-684.37501203708234</v>
      </c>
      <c r="T32" s="3">
        <f t="shared" si="14"/>
        <v>684.37501203708234</v>
      </c>
      <c r="U32" s="45">
        <f t="shared" si="15"/>
        <v>-3.2137901055689665E-2</v>
      </c>
      <c r="V32" s="45">
        <f t="shared" si="16"/>
        <v>3.2137901055689665E-2</v>
      </c>
      <c r="X32" s="3">
        <f t="shared" si="2"/>
        <v>487.22165380222577</v>
      </c>
      <c r="Y32" s="3">
        <f t="shared" si="17"/>
        <v>487.22165380222577</v>
      </c>
      <c r="Z32" s="45">
        <f t="shared" si="18"/>
        <v>2.2879680038985679E-2</v>
      </c>
      <c r="AA32" s="45">
        <f t="shared" si="19"/>
        <v>2.2879680038985679E-2</v>
      </c>
    </row>
    <row r="33" spans="1:27" ht="15.75">
      <c r="A33" s="43"/>
      <c r="B33" s="43">
        <v>-2.5732468087832943</v>
      </c>
      <c r="C33" s="43">
        <v>0.46170174956830079</v>
      </c>
      <c r="E33" s="4">
        <v>22</v>
      </c>
      <c r="F33" s="44">
        <f t="shared" si="3"/>
        <v>22.802595736501175</v>
      </c>
      <c r="G33" s="44">
        <f t="shared" si="4"/>
        <v>13323.325886307503</v>
      </c>
      <c r="H33" s="71">
        <f t="shared" si="0"/>
        <v>10978.82878218189</v>
      </c>
      <c r="I33" s="3">
        <f t="shared" si="5"/>
        <v>2344.4971041256122</v>
      </c>
      <c r="J33" s="3">
        <f t="shared" si="6"/>
        <v>2344.4971041256122</v>
      </c>
      <c r="K33" s="45">
        <f t="shared" si="7"/>
        <v>0.21354710512751759</v>
      </c>
      <c r="L33" s="45">
        <f t="shared" si="8"/>
        <v>0.21354710512751759</v>
      </c>
      <c r="N33" s="3">
        <f t="shared" si="9"/>
        <v>54.219930430495197</v>
      </c>
      <c r="O33" s="3">
        <f t="shared" si="10"/>
        <v>74.484881210711819</v>
      </c>
      <c r="P33" s="3">
        <f t="shared" si="11"/>
        <v>15269.763722195788</v>
      </c>
      <c r="Q33" s="3">
        <f t="shared" si="12"/>
        <v>16604.966662721778</v>
      </c>
      <c r="R33" s="71">
        <f t="shared" si="1"/>
        <v>15331.837523268288</v>
      </c>
      <c r="S33" s="3">
        <f t="shared" si="13"/>
        <v>1273.1291394534892</v>
      </c>
      <c r="T33" s="3">
        <f t="shared" si="14"/>
        <v>1273.1291394534892</v>
      </c>
      <c r="U33" s="45">
        <f t="shared" si="15"/>
        <v>8.3038261886178411E-2</v>
      </c>
      <c r="V33" s="45">
        <f t="shared" si="16"/>
        <v>8.3038261886178411E-2</v>
      </c>
      <c r="X33" s="3">
        <f t="shared" si="2"/>
        <v>-2008.5116369607858</v>
      </c>
      <c r="Y33" s="3">
        <f t="shared" si="17"/>
        <v>2008.5116369607858</v>
      </c>
      <c r="Z33" s="45">
        <f t="shared" si="18"/>
        <v>-0.13100266904815408</v>
      </c>
      <c r="AA33" s="45">
        <f t="shared" si="19"/>
        <v>0.13100266904815408</v>
      </c>
    </row>
    <row r="34" spans="1:27" ht="15.75">
      <c r="A34" s="43"/>
      <c r="B34" s="43">
        <v>-2.045884288267326</v>
      </c>
      <c r="C34" s="43">
        <v>5.3387539166599073E-2</v>
      </c>
      <c r="E34" s="4">
        <v>23</v>
      </c>
      <c r="F34" s="44">
        <f t="shared" si="3"/>
        <v>38.623471351980221</v>
      </c>
      <c r="G34" s="44">
        <f t="shared" si="4"/>
        <v>13443.157682418116</v>
      </c>
      <c r="H34" s="71">
        <f t="shared" si="0"/>
        <v>12373.606153139288</v>
      </c>
      <c r="I34" s="3">
        <f t="shared" si="5"/>
        <v>1069.5515292788277</v>
      </c>
      <c r="J34" s="3">
        <f t="shared" si="6"/>
        <v>1069.5515292788277</v>
      </c>
      <c r="K34" s="45">
        <f t="shared" si="7"/>
        <v>8.6438142287846575E-2</v>
      </c>
      <c r="L34" s="45">
        <f t="shared" si="8"/>
        <v>8.6438142287846575E-2</v>
      </c>
      <c r="N34" s="3">
        <f t="shared" si="9"/>
        <v>42.522586121608967</v>
      </c>
      <c r="O34" s="3">
        <f t="shared" si="10"/>
        <v>50.513159893884676</v>
      </c>
      <c r="P34" s="3">
        <f t="shared" si="11"/>
        <v>13899.809192362532</v>
      </c>
      <c r="Q34" s="3">
        <f t="shared" si="12"/>
        <v>14576.098559952345</v>
      </c>
      <c r="R34" s="71">
        <f t="shared" si="1"/>
        <v>12980.551569480785</v>
      </c>
      <c r="S34" s="3">
        <f t="shared" si="13"/>
        <v>1595.5469904715592</v>
      </c>
      <c r="T34" s="3">
        <f t="shared" si="14"/>
        <v>1595.5469904715592</v>
      </c>
      <c r="U34" s="45">
        <f t="shared" si="15"/>
        <v>0.12291827369053626</v>
      </c>
      <c r="V34" s="45">
        <f t="shared" si="16"/>
        <v>0.12291827369053626</v>
      </c>
      <c r="X34" s="3">
        <f t="shared" si="2"/>
        <v>462.60611293733018</v>
      </c>
      <c r="Y34" s="3">
        <f t="shared" si="17"/>
        <v>462.60611293733018</v>
      </c>
      <c r="Z34" s="45">
        <f t="shared" si="18"/>
        <v>3.5638401839948479E-2</v>
      </c>
      <c r="AA34" s="45">
        <f t="shared" si="19"/>
        <v>3.5638401839948479E-2</v>
      </c>
    </row>
    <row r="35" spans="1:27" ht="15.75">
      <c r="A35" s="43"/>
      <c r="B35" s="43">
        <v>-1.0868419077574512</v>
      </c>
      <c r="C35" s="43">
        <v>-1.1159477953304779</v>
      </c>
      <c r="E35" s="4">
        <v>24</v>
      </c>
      <c r="F35" s="44">
        <f t="shared" si="3"/>
        <v>67.394742767276469</v>
      </c>
      <c r="G35" s="44">
        <f t="shared" si="4"/>
        <v>12380.709749227066</v>
      </c>
      <c r="H35" s="71">
        <f t="shared" si="0"/>
        <v>14910.097765807439</v>
      </c>
      <c r="I35" s="3">
        <f t="shared" si="5"/>
        <v>-2529.388016580373</v>
      </c>
      <c r="J35" s="3">
        <f t="shared" si="6"/>
        <v>2529.388016580373</v>
      </c>
      <c r="K35" s="45">
        <f t="shared" si="7"/>
        <v>-0.16964261779563167</v>
      </c>
      <c r="L35" s="45">
        <f t="shared" si="8"/>
        <v>0.16964261779563167</v>
      </c>
      <c r="N35" s="3">
        <f t="shared" si="9"/>
        <v>61.176703605859601</v>
      </c>
      <c r="O35" s="3">
        <f t="shared" si="10"/>
        <v>58.510817677865873</v>
      </c>
      <c r="P35" s="3">
        <f t="shared" si="11"/>
        <v>12760.484610010932</v>
      </c>
      <c r="Q35" s="3">
        <f t="shared" si="12"/>
        <v>13214.388097496285</v>
      </c>
      <c r="R35" s="71">
        <f t="shared" si="1"/>
        <v>13765.008395177074</v>
      </c>
      <c r="S35" s="3">
        <f t="shared" si="13"/>
        <v>-550.62029768078901</v>
      </c>
      <c r="T35" s="3">
        <f t="shared" si="14"/>
        <v>550.62029768078901</v>
      </c>
      <c r="U35" s="45">
        <f t="shared" si="15"/>
        <v>-4.0001450189722593E-2</v>
      </c>
      <c r="V35" s="45">
        <f t="shared" si="16"/>
        <v>4.0001450189722593E-2</v>
      </c>
      <c r="X35" s="3">
        <f t="shared" si="2"/>
        <v>-1384.298645950008</v>
      </c>
      <c r="Y35" s="3">
        <f t="shared" si="17"/>
        <v>1384.298645950008</v>
      </c>
      <c r="Z35" s="45">
        <f t="shared" si="18"/>
        <v>-0.10056649485481119</v>
      </c>
      <c r="AA35" s="45">
        <f t="shared" si="19"/>
        <v>0.10056649485481119</v>
      </c>
    </row>
    <row r="36" spans="1:27" ht="17.25" thickBot="1">
      <c r="F36" s="47">
        <f>AVERAGE(F12:F35)</f>
        <v>97.444489239933162</v>
      </c>
      <c r="G36" s="47">
        <f>AVERAGE(G12:G35)</f>
        <v>17559.300464933734</v>
      </c>
      <c r="H36" s="72">
        <f>AVERAGE(H12:H35)</f>
        <v>17559.300464933731</v>
      </c>
      <c r="I36" s="69">
        <f>AVERAGE(I12:I35)</f>
        <v>-2.6526928801710406E-12</v>
      </c>
      <c r="J36" s="69">
        <f>AVERAGE(J12:J35)</f>
        <v>2876.3670799794877</v>
      </c>
      <c r="K36" s="27"/>
      <c r="L36" s="27"/>
      <c r="N36" s="48">
        <f>AVERAGE(N12:N35)</f>
        <v>97.948208484850809</v>
      </c>
      <c r="O36" s="48">
        <f t="shared" ref="O36:V36" si="20">AVERAGE(O12:O35)</f>
        <v>98.48895392321289</v>
      </c>
      <c r="P36" s="48">
        <f t="shared" si="20"/>
        <v>17625.950685140993</v>
      </c>
      <c r="Q36" s="48">
        <f t="shared" si="20"/>
        <v>17686.296690244289</v>
      </c>
      <c r="R36" s="73">
        <f t="shared" si="20"/>
        <v>17686.296690244289</v>
      </c>
      <c r="S36" s="48">
        <f t="shared" si="20"/>
        <v>4.5474735088646412E-13</v>
      </c>
      <c r="T36" s="48">
        <f t="shared" si="20"/>
        <v>1592.7136927745908</v>
      </c>
      <c r="U36" s="49">
        <f t="shared" si="20"/>
        <v>4.6841850440485405E-4</v>
      </c>
      <c r="V36" s="49">
        <f t="shared" si="20"/>
        <v>8.8740082635509129E-2</v>
      </c>
      <c r="X36" s="48">
        <f>AVERAGE(X12:X35)</f>
        <v>-126.99622531055843</v>
      </c>
      <c r="Y36" s="48">
        <f>AVERAGE(Y12:Y35)</f>
        <v>2884.3189438157278</v>
      </c>
      <c r="Z36" s="49">
        <f>AVERAGE(Z12:Z35)</f>
        <v>-1.2014493445014483E-2</v>
      </c>
      <c r="AA36" s="49">
        <f>AVERAGE(AA12:AA35)</f>
        <v>0.1600510532736398</v>
      </c>
    </row>
    <row r="37" spans="1:27" ht="15.75" thickTop="1">
      <c r="F37" s="27"/>
      <c r="G37" s="27"/>
      <c r="H37" s="3">
        <f>H36 - G36</f>
        <v>0</v>
      </c>
      <c r="I37" s="3">
        <f>I36</f>
        <v>-2.6526928801710406E-12</v>
      </c>
      <c r="J37" s="27"/>
      <c r="K37" s="27"/>
      <c r="L37" s="27"/>
    </row>
    <row r="38" spans="1:27">
      <c r="L38" s="27"/>
    </row>
    <row r="43" spans="1:27">
      <c r="A43" s="36"/>
    </row>
  </sheetData>
  <conditionalFormatting sqref="H37">
    <cfRule type="expression" dxfId="17" priority="3" stopIfTrue="1">
      <formula>ABS(H37)&gt;=0.0001</formula>
    </cfRule>
    <cfRule type="expression" dxfId="16" priority="4" stopIfTrue="1">
      <formula>ABS(H37)&lt;0.0001</formula>
    </cfRule>
  </conditionalFormatting>
  <conditionalFormatting sqref="I37">
    <cfRule type="expression" dxfId="15" priority="1" stopIfTrue="1">
      <formula>ABS(I37)&gt;=0.0001</formula>
    </cfRule>
    <cfRule type="expression" dxfId="14" priority="2" stopIfTrue="1">
      <formula>ABS(I37)&lt;0.0001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D1:K12"/>
  <sheetViews>
    <sheetView zoomScale="125" zoomScaleNormal="125" workbookViewId="0">
      <selection activeCell="J6" sqref="J6"/>
    </sheetView>
  </sheetViews>
  <sheetFormatPr defaultColWidth="11.5703125" defaultRowHeight="15"/>
  <cols>
    <col min="6" max="6" width="5.7109375" customWidth="1"/>
    <col min="9" max="9" width="5.7109375" customWidth="1"/>
  </cols>
  <sheetData>
    <row r="1" spans="4:11">
      <c r="J1" s="87">
        <f>AVERAGE(E4:E12)</f>
        <v>17985.640593912201</v>
      </c>
      <c r="K1" s="87">
        <f>AVERAGE(E4:E12)</f>
        <v>17985.640593912201</v>
      </c>
    </row>
    <row r="2" spans="4:11">
      <c r="J2" s="88">
        <v>0.25</v>
      </c>
      <c r="K2" s="88">
        <v>0.25</v>
      </c>
    </row>
    <row r="3" spans="4:11" ht="33">
      <c r="D3" s="41" t="s">
        <v>34</v>
      </c>
      <c r="E3" s="41" t="s">
        <v>26</v>
      </c>
      <c r="G3" s="41" t="s">
        <v>21</v>
      </c>
      <c r="H3" s="41" t="s">
        <v>138</v>
      </c>
      <c r="J3" s="41" t="s">
        <v>139</v>
      </c>
      <c r="K3" s="41" t="s">
        <v>140</v>
      </c>
    </row>
    <row r="4" spans="4:11" ht="15.75">
      <c r="D4" s="44">
        <v>89.237468702124616</v>
      </c>
      <c r="E4" s="44">
        <v>18561.102418134495</v>
      </c>
      <c r="J4" s="87">
        <f>J$1*J$2+(1-J$2)*E4</f>
        <v>18417.236962078921</v>
      </c>
      <c r="K4" s="87">
        <f>K$1*K$2+(1-K$2)*J4</f>
        <v>18309.337870037241</v>
      </c>
    </row>
    <row r="5" spans="4:11" ht="15.75">
      <c r="D5" s="44">
        <v>159.09519105606489</v>
      </c>
      <c r="E5" s="44">
        <v>17024.349944053905</v>
      </c>
      <c r="J5" s="87">
        <f t="shared" ref="J5:J12" si="0">J$1*J$2+(1-J$2)*E5</f>
        <v>17264.672606518481</v>
      </c>
      <c r="K5" s="87">
        <f t="shared" ref="K5:K12" si="1">K$1*K$2+(1-K$2)*J5</f>
        <v>17444.914603366913</v>
      </c>
    </row>
    <row r="6" spans="4:11" ht="15.75">
      <c r="D6" s="44">
        <v>88.844495367404321</v>
      </c>
      <c r="E6" s="44">
        <v>15448.722999494315</v>
      </c>
      <c r="F6" s="87"/>
      <c r="G6" s="87">
        <f>(E5+E6+E7)/3</f>
        <v>16223.131857465771</v>
      </c>
      <c r="H6" s="87">
        <f>E6*50%+E5*35%+E4*15%</f>
        <v>16467.049342886199</v>
      </c>
      <c r="J6" s="87">
        <f t="shared" si="0"/>
        <v>16082.952398098787</v>
      </c>
      <c r="K6" s="87">
        <f t="shared" si="1"/>
        <v>16558.624447052141</v>
      </c>
    </row>
    <row r="7" spans="4:11" ht="15.75">
      <c r="D7" s="44">
        <v>45.589670973117663</v>
      </c>
      <c r="E7" s="44">
        <v>16196.322628849093</v>
      </c>
      <c r="F7" s="87"/>
      <c r="G7" s="87">
        <f t="shared" ref="G7:G12" si="2">(E6+E7+E8)/3</f>
        <v>15781.889970489539</v>
      </c>
      <c r="H7" s="87">
        <f t="shared" ref="H7:H12" si="3">E7*50%+E6*35%+E5*15%</f>
        <v>16058.866855855642</v>
      </c>
      <c r="J7" s="87">
        <f t="shared" si="0"/>
        <v>16643.652120114872</v>
      </c>
      <c r="K7" s="87">
        <f t="shared" si="1"/>
        <v>16979.149238564205</v>
      </c>
    </row>
    <row r="8" spans="4:11" ht="15.75">
      <c r="D8" s="44">
        <v>107.24233396192699</v>
      </c>
      <c r="E8" s="44">
        <v>15700.624283125211</v>
      </c>
      <c r="F8" s="87"/>
      <c r="G8" s="87">
        <f t="shared" si="2"/>
        <v>14276.375471226784</v>
      </c>
      <c r="H8" s="87">
        <f t="shared" si="3"/>
        <v>15836.333511583935</v>
      </c>
      <c r="J8" s="87">
        <f t="shared" si="0"/>
        <v>16271.87836082196</v>
      </c>
      <c r="K8" s="87">
        <f t="shared" si="1"/>
        <v>16700.31891909452</v>
      </c>
    </row>
    <row r="9" spans="4:11" ht="15.75">
      <c r="D9" s="44">
        <v>36.238453182607259</v>
      </c>
      <c r="E9" s="44">
        <v>10932.179501706047</v>
      </c>
      <c r="F9" s="87"/>
      <c r="G9" s="87">
        <f t="shared" si="2"/>
        <v>14653.571897020904</v>
      </c>
      <c r="H9" s="87">
        <f t="shared" si="3"/>
        <v>13390.756644274212</v>
      </c>
      <c r="J9" s="87">
        <f t="shared" si="0"/>
        <v>12695.544774757585</v>
      </c>
      <c r="K9" s="87">
        <f t="shared" si="1"/>
        <v>14018.068729546241</v>
      </c>
    </row>
    <row r="10" spans="4:11" ht="15.75">
      <c r="D10" s="44">
        <v>89.675750780006737</v>
      </c>
      <c r="E10" s="44">
        <v>17327.911906231449</v>
      </c>
      <c r="F10" s="87"/>
      <c r="G10" s="87">
        <f t="shared" si="2"/>
        <v>15559.472133646099</v>
      </c>
      <c r="H10" s="87">
        <f t="shared" si="3"/>
        <v>14845.312421181621</v>
      </c>
      <c r="J10" s="87">
        <f t="shared" si="0"/>
        <v>17492.344078151636</v>
      </c>
      <c r="K10" s="87">
        <f t="shared" si="1"/>
        <v>17615.668207091778</v>
      </c>
    </row>
    <row r="11" spans="4:11" ht="15.75">
      <c r="D11" s="44">
        <v>101.41280573733411</v>
      </c>
      <c r="E11" s="44">
        <v>18418.324993000795</v>
      </c>
      <c r="F11" s="87"/>
      <c r="G11" s="87">
        <f t="shared" si="2"/>
        <v>22669.154523282239</v>
      </c>
      <c r="H11" s="87">
        <f t="shared" si="3"/>
        <v>16913.758588937311</v>
      </c>
      <c r="J11" s="87">
        <f t="shared" si="0"/>
        <v>18310.153893228646</v>
      </c>
      <c r="K11" s="87">
        <f t="shared" si="1"/>
        <v>18229.025568399535</v>
      </c>
    </row>
    <row r="12" spans="4:11" ht="15.75">
      <c r="D12" s="44">
        <v>168.00283464472523</v>
      </c>
      <c r="E12" s="44">
        <v>32261.226670614473</v>
      </c>
      <c r="F12" s="87"/>
      <c r="G12" s="87">
        <f t="shared" si="2"/>
        <v>16893.183887871757</v>
      </c>
      <c r="H12" s="87">
        <f t="shared" si="3"/>
        <v>25176.213868792234</v>
      </c>
      <c r="J12" s="87">
        <f t="shared" si="0"/>
        <v>28692.330151438906</v>
      </c>
      <c r="K12" s="87">
        <f t="shared" si="1"/>
        <v>26015.657762057232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7"/>
  <dimension ref="A1:V44"/>
  <sheetViews>
    <sheetView workbookViewId="0">
      <selection activeCell="A21" sqref="A21"/>
    </sheetView>
  </sheetViews>
  <sheetFormatPr defaultColWidth="12.42578125" defaultRowHeight="15"/>
  <cols>
    <col min="1" max="1" width="4" style="3" customWidth="1"/>
    <col min="2" max="3" width="11.28515625" style="3" customWidth="1"/>
    <col min="4" max="5" width="12.42578125" style="3" customWidth="1"/>
    <col min="6" max="12" width="12.85546875" style="3" customWidth="1"/>
    <col min="13" max="13" width="4" style="3" customWidth="1"/>
    <col min="14" max="17" width="11.85546875" style="3" customWidth="1"/>
    <col min="18" max="22" width="14.85546875" style="3" customWidth="1"/>
    <col min="23" max="256" width="12.42578125" style="3"/>
    <col min="257" max="257" width="4" style="3" customWidth="1"/>
    <col min="258" max="259" width="11.28515625" style="3" customWidth="1"/>
    <col min="260" max="261" width="12.42578125" style="3" customWidth="1"/>
    <col min="262" max="268" width="12.85546875" style="3" customWidth="1"/>
    <col min="269" max="269" width="4" style="3" customWidth="1"/>
    <col min="270" max="273" width="11.85546875" style="3" customWidth="1"/>
    <col min="274" max="278" width="14.85546875" style="3" customWidth="1"/>
    <col min="279" max="512" width="12.42578125" style="3"/>
    <col min="513" max="513" width="4" style="3" customWidth="1"/>
    <col min="514" max="515" width="11.28515625" style="3" customWidth="1"/>
    <col min="516" max="517" width="12.42578125" style="3" customWidth="1"/>
    <col min="518" max="524" width="12.85546875" style="3" customWidth="1"/>
    <col min="525" max="525" width="4" style="3" customWidth="1"/>
    <col min="526" max="529" width="11.85546875" style="3" customWidth="1"/>
    <col min="530" max="534" width="14.85546875" style="3" customWidth="1"/>
    <col min="535" max="768" width="12.42578125" style="3"/>
    <col min="769" max="769" width="4" style="3" customWidth="1"/>
    <col min="770" max="771" width="11.28515625" style="3" customWidth="1"/>
    <col min="772" max="773" width="12.42578125" style="3" customWidth="1"/>
    <col min="774" max="780" width="12.85546875" style="3" customWidth="1"/>
    <col min="781" max="781" width="4" style="3" customWidth="1"/>
    <col min="782" max="785" width="11.85546875" style="3" customWidth="1"/>
    <col min="786" max="790" width="14.85546875" style="3" customWidth="1"/>
    <col min="791" max="1024" width="12.42578125" style="3"/>
    <col min="1025" max="1025" width="4" style="3" customWidth="1"/>
    <col min="1026" max="1027" width="11.28515625" style="3" customWidth="1"/>
    <col min="1028" max="1029" width="12.42578125" style="3" customWidth="1"/>
    <col min="1030" max="1036" width="12.85546875" style="3" customWidth="1"/>
    <col min="1037" max="1037" width="4" style="3" customWidth="1"/>
    <col min="1038" max="1041" width="11.85546875" style="3" customWidth="1"/>
    <col min="1042" max="1046" width="14.85546875" style="3" customWidth="1"/>
    <col min="1047" max="1280" width="12.42578125" style="3"/>
    <col min="1281" max="1281" width="4" style="3" customWidth="1"/>
    <col min="1282" max="1283" width="11.28515625" style="3" customWidth="1"/>
    <col min="1284" max="1285" width="12.42578125" style="3" customWidth="1"/>
    <col min="1286" max="1292" width="12.85546875" style="3" customWidth="1"/>
    <col min="1293" max="1293" width="4" style="3" customWidth="1"/>
    <col min="1294" max="1297" width="11.85546875" style="3" customWidth="1"/>
    <col min="1298" max="1302" width="14.85546875" style="3" customWidth="1"/>
    <col min="1303" max="1536" width="12.42578125" style="3"/>
    <col min="1537" max="1537" width="4" style="3" customWidth="1"/>
    <col min="1538" max="1539" width="11.28515625" style="3" customWidth="1"/>
    <col min="1540" max="1541" width="12.42578125" style="3" customWidth="1"/>
    <col min="1542" max="1548" width="12.85546875" style="3" customWidth="1"/>
    <col min="1549" max="1549" width="4" style="3" customWidth="1"/>
    <col min="1550" max="1553" width="11.85546875" style="3" customWidth="1"/>
    <col min="1554" max="1558" width="14.85546875" style="3" customWidth="1"/>
    <col min="1559" max="1792" width="12.42578125" style="3"/>
    <col min="1793" max="1793" width="4" style="3" customWidth="1"/>
    <col min="1794" max="1795" width="11.28515625" style="3" customWidth="1"/>
    <col min="1796" max="1797" width="12.42578125" style="3" customWidth="1"/>
    <col min="1798" max="1804" width="12.85546875" style="3" customWidth="1"/>
    <col min="1805" max="1805" width="4" style="3" customWidth="1"/>
    <col min="1806" max="1809" width="11.85546875" style="3" customWidth="1"/>
    <col min="1810" max="1814" width="14.85546875" style="3" customWidth="1"/>
    <col min="1815" max="2048" width="12.42578125" style="3"/>
    <col min="2049" max="2049" width="4" style="3" customWidth="1"/>
    <col min="2050" max="2051" width="11.28515625" style="3" customWidth="1"/>
    <col min="2052" max="2053" width="12.42578125" style="3" customWidth="1"/>
    <col min="2054" max="2060" width="12.85546875" style="3" customWidth="1"/>
    <col min="2061" max="2061" width="4" style="3" customWidth="1"/>
    <col min="2062" max="2065" width="11.85546875" style="3" customWidth="1"/>
    <col min="2066" max="2070" width="14.85546875" style="3" customWidth="1"/>
    <col min="2071" max="2304" width="12.42578125" style="3"/>
    <col min="2305" max="2305" width="4" style="3" customWidth="1"/>
    <col min="2306" max="2307" width="11.28515625" style="3" customWidth="1"/>
    <col min="2308" max="2309" width="12.42578125" style="3" customWidth="1"/>
    <col min="2310" max="2316" width="12.85546875" style="3" customWidth="1"/>
    <col min="2317" max="2317" width="4" style="3" customWidth="1"/>
    <col min="2318" max="2321" width="11.85546875" style="3" customWidth="1"/>
    <col min="2322" max="2326" width="14.85546875" style="3" customWidth="1"/>
    <col min="2327" max="2560" width="12.42578125" style="3"/>
    <col min="2561" max="2561" width="4" style="3" customWidth="1"/>
    <col min="2562" max="2563" width="11.28515625" style="3" customWidth="1"/>
    <col min="2564" max="2565" width="12.42578125" style="3" customWidth="1"/>
    <col min="2566" max="2572" width="12.85546875" style="3" customWidth="1"/>
    <col min="2573" max="2573" width="4" style="3" customWidth="1"/>
    <col min="2574" max="2577" width="11.85546875" style="3" customWidth="1"/>
    <col min="2578" max="2582" width="14.85546875" style="3" customWidth="1"/>
    <col min="2583" max="2816" width="12.42578125" style="3"/>
    <col min="2817" max="2817" width="4" style="3" customWidth="1"/>
    <col min="2818" max="2819" width="11.28515625" style="3" customWidth="1"/>
    <col min="2820" max="2821" width="12.42578125" style="3" customWidth="1"/>
    <col min="2822" max="2828" width="12.85546875" style="3" customWidth="1"/>
    <col min="2829" max="2829" width="4" style="3" customWidth="1"/>
    <col min="2830" max="2833" width="11.85546875" style="3" customWidth="1"/>
    <col min="2834" max="2838" width="14.85546875" style="3" customWidth="1"/>
    <col min="2839" max="3072" width="12.42578125" style="3"/>
    <col min="3073" max="3073" width="4" style="3" customWidth="1"/>
    <col min="3074" max="3075" width="11.28515625" style="3" customWidth="1"/>
    <col min="3076" max="3077" width="12.42578125" style="3" customWidth="1"/>
    <col min="3078" max="3084" width="12.85546875" style="3" customWidth="1"/>
    <col min="3085" max="3085" width="4" style="3" customWidth="1"/>
    <col min="3086" max="3089" width="11.85546875" style="3" customWidth="1"/>
    <col min="3090" max="3094" width="14.85546875" style="3" customWidth="1"/>
    <col min="3095" max="3328" width="12.42578125" style="3"/>
    <col min="3329" max="3329" width="4" style="3" customWidth="1"/>
    <col min="3330" max="3331" width="11.28515625" style="3" customWidth="1"/>
    <col min="3332" max="3333" width="12.42578125" style="3" customWidth="1"/>
    <col min="3334" max="3340" width="12.85546875" style="3" customWidth="1"/>
    <col min="3341" max="3341" width="4" style="3" customWidth="1"/>
    <col min="3342" max="3345" width="11.85546875" style="3" customWidth="1"/>
    <col min="3346" max="3350" width="14.85546875" style="3" customWidth="1"/>
    <col min="3351" max="3584" width="12.42578125" style="3"/>
    <col min="3585" max="3585" width="4" style="3" customWidth="1"/>
    <col min="3586" max="3587" width="11.28515625" style="3" customWidth="1"/>
    <col min="3588" max="3589" width="12.42578125" style="3" customWidth="1"/>
    <col min="3590" max="3596" width="12.85546875" style="3" customWidth="1"/>
    <col min="3597" max="3597" width="4" style="3" customWidth="1"/>
    <col min="3598" max="3601" width="11.85546875" style="3" customWidth="1"/>
    <col min="3602" max="3606" width="14.85546875" style="3" customWidth="1"/>
    <col min="3607" max="3840" width="12.42578125" style="3"/>
    <col min="3841" max="3841" width="4" style="3" customWidth="1"/>
    <col min="3842" max="3843" width="11.28515625" style="3" customWidth="1"/>
    <col min="3844" max="3845" width="12.42578125" style="3" customWidth="1"/>
    <col min="3846" max="3852" width="12.85546875" style="3" customWidth="1"/>
    <col min="3853" max="3853" width="4" style="3" customWidth="1"/>
    <col min="3854" max="3857" width="11.85546875" style="3" customWidth="1"/>
    <col min="3858" max="3862" width="14.85546875" style="3" customWidth="1"/>
    <col min="3863" max="4096" width="12.42578125" style="3"/>
    <col min="4097" max="4097" width="4" style="3" customWidth="1"/>
    <col min="4098" max="4099" width="11.28515625" style="3" customWidth="1"/>
    <col min="4100" max="4101" width="12.42578125" style="3" customWidth="1"/>
    <col min="4102" max="4108" width="12.85546875" style="3" customWidth="1"/>
    <col min="4109" max="4109" width="4" style="3" customWidth="1"/>
    <col min="4110" max="4113" width="11.85546875" style="3" customWidth="1"/>
    <col min="4114" max="4118" width="14.85546875" style="3" customWidth="1"/>
    <col min="4119" max="4352" width="12.42578125" style="3"/>
    <col min="4353" max="4353" width="4" style="3" customWidth="1"/>
    <col min="4354" max="4355" width="11.28515625" style="3" customWidth="1"/>
    <col min="4356" max="4357" width="12.42578125" style="3" customWidth="1"/>
    <col min="4358" max="4364" width="12.85546875" style="3" customWidth="1"/>
    <col min="4365" max="4365" width="4" style="3" customWidth="1"/>
    <col min="4366" max="4369" width="11.85546875" style="3" customWidth="1"/>
    <col min="4370" max="4374" width="14.85546875" style="3" customWidth="1"/>
    <col min="4375" max="4608" width="12.42578125" style="3"/>
    <col min="4609" max="4609" width="4" style="3" customWidth="1"/>
    <col min="4610" max="4611" width="11.28515625" style="3" customWidth="1"/>
    <col min="4612" max="4613" width="12.42578125" style="3" customWidth="1"/>
    <col min="4614" max="4620" width="12.85546875" style="3" customWidth="1"/>
    <col min="4621" max="4621" width="4" style="3" customWidth="1"/>
    <col min="4622" max="4625" width="11.85546875" style="3" customWidth="1"/>
    <col min="4626" max="4630" width="14.85546875" style="3" customWidth="1"/>
    <col min="4631" max="4864" width="12.42578125" style="3"/>
    <col min="4865" max="4865" width="4" style="3" customWidth="1"/>
    <col min="4866" max="4867" width="11.28515625" style="3" customWidth="1"/>
    <col min="4868" max="4869" width="12.42578125" style="3" customWidth="1"/>
    <col min="4870" max="4876" width="12.85546875" style="3" customWidth="1"/>
    <col min="4877" max="4877" width="4" style="3" customWidth="1"/>
    <col min="4878" max="4881" width="11.85546875" style="3" customWidth="1"/>
    <col min="4882" max="4886" width="14.85546875" style="3" customWidth="1"/>
    <col min="4887" max="5120" width="12.42578125" style="3"/>
    <col min="5121" max="5121" width="4" style="3" customWidth="1"/>
    <col min="5122" max="5123" width="11.28515625" style="3" customWidth="1"/>
    <col min="5124" max="5125" width="12.42578125" style="3" customWidth="1"/>
    <col min="5126" max="5132" width="12.85546875" style="3" customWidth="1"/>
    <col min="5133" max="5133" width="4" style="3" customWidth="1"/>
    <col min="5134" max="5137" width="11.85546875" style="3" customWidth="1"/>
    <col min="5138" max="5142" width="14.85546875" style="3" customWidth="1"/>
    <col min="5143" max="5376" width="12.42578125" style="3"/>
    <col min="5377" max="5377" width="4" style="3" customWidth="1"/>
    <col min="5378" max="5379" width="11.28515625" style="3" customWidth="1"/>
    <col min="5380" max="5381" width="12.42578125" style="3" customWidth="1"/>
    <col min="5382" max="5388" width="12.85546875" style="3" customWidth="1"/>
    <col min="5389" max="5389" width="4" style="3" customWidth="1"/>
    <col min="5390" max="5393" width="11.85546875" style="3" customWidth="1"/>
    <col min="5394" max="5398" width="14.85546875" style="3" customWidth="1"/>
    <col min="5399" max="5632" width="12.42578125" style="3"/>
    <col min="5633" max="5633" width="4" style="3" customWidth="1"/>
    <col min="5634" max="5635" width="11.28515625" style="3" customWidth="1"/>
    <col min="5636" max="5637" width="12.42578125" style="3" customWidth="1"/>
    <col min="5638" max="5644" width="12.85546875" style="3" customWidth="1"/>
    <col min="5645" max="5645" width="4" style="3" customWidth="1"/>
    <col min="5646" max="5649" width="11.85546875" style="3" customWidth="1"/>
    <col min="5650" max="5654" width="14.85546875" style="3" customWidth="1"/>
    <col min="5655" max="5888" width="12.42578125" style="3"/>
    <col min="5889" max="5889" width="4" style="3" customWidth="1"/>
    <col min="5890" max="5891" width="11.28515625" style="3" customWidth="1"/>
    <col min="5892" max="5893" width="12.42578125" style="3" customWidth="1"/>
    <col min="5894" max="5900" width="12.85546875" style="3" customWidth="1"/>
    <col min="5901" max="5901" width="4" style="3" customWidth="1"/>
    <col min="5902" max="5905" width="11.85546875" style="3" customWidth="1"/>
    <col min="5906" max="5910" width="14.85546875" style="3" customWidth="1"/>
    <col min="5911" max="6144" width="12.42578125" style="3"/>
    <col min="6145" max="6145" width="4" style="3" customWidth="1"/>
    <col min="6146" max="6147" width="11.28515625" style="3" customWidth="1"/>
    <col min="6148" max="6149" width="12.42578125" style="3" customWidth="1"/>
    <col min="6150" max="6156" width="12.85546875" style="3" customWidth="1"/>
    <col min="6157" max="6157" width="4" style="3" customWidth="1"/>
    <col min="6158" max="6161" width="11.85546875" style="3" customWidth="1"/>
    <col min="6162" max="6166" width="14.85546875" style="3" customWidth="1"/>
    <col min="6167" max="6400" width="12.42578125" style="3"/>
    <col min="6401" max="6401" width="4" style="3" customWidth="1"/>
    <col min="6402" max="6403" width="11.28515625" style="3" customWidth="1"/>
    <col min="6404" max="6405" width="12.42578125" style="3" customWidth="1"/>
    <col min="6406" max="6412" width="12.85546875" style="3" customWidth="1"/>
    <col min="6413" max="6413" width="4" style="3" customWidth="1"/>
    <col min="6414" max="6417" width="11.85546875" style="3" customWidth="1"/>
    <col min="6418" max="6422" width="14.85546875" style="3" customWidth="1"/>
    <col min="6423" max="6656" width="12.42578125" style="3"/>
    <col min="6657" max="6657" width="4" style="3" customWidth="1"/>
    <col min="6658" max="6659" width="11.28515625" style="3" customWidth="1"/>
    <col min="6660" max="6661" width="12.42578125" style="3" customWidth="1"/>
    <col min="6662" max="6668" width="12.85546875" style="3" customWidth="1"/>
    <col min="6669" max="6669" width="4" style="3" customWidth="1"/>
    <col min="6670" max="6673" width="11.85546875" style="3" customWidth="1"/>
    <col min="6674" max="6678" width="14.85546875" style="3" customWidth="1"/>
    <col min="6679" max="6912" width="12.42578125" style="3"/>
    <col min="6913" max="6913" width="4" style="3" customWidth="1"/>
    <col min="6914" max="6915" width="11.28515625" style="3" customWidth="1"/>
    <col min="6916" max="6917" width="12.42578125" style="3" customWidth="1"/>
    <col min="6918" max="6924" width="12.85546875" style="3" customWidth="1"/>
    <col min="6925" max="6925" width="4" style="3" customWidth="1"/>
    <col min="6926" max="6929" width="11.85546875" style="3" customWidth="1"/>
    <col min="6930" max="6934" width="14.85546875" style="3" customWidth="1"/>
    <col min="6935" max="7168" width="12.42578125" style="3"/>
    <col min="7169" max="7169" width="4" style="3" customWidth="1"/>
    <col min="7170" max="7171" width="11.28515625" style="3" customWidth="1"/>
    <col min="7172" max="7173" width="12.42578125" style="3" customWidth="1"/>
    <col min="7174" max="7180" width="12.85546875" style="3" customWidth="1"/>
    <col min="7181" max="7181" width="4" style="3" customWidth="1"/>
    <col min="7182" max="7185" width="11.85546875" style="3" customWidth="1"/>
    <col min="7186" max="7190" width="14.85546875" style="3" customWidth="1"/>
    <col min="7191" max="7424" width="12.42578125" style="3"/>
    <col min="7425" max="7425" width="4" style="3" customWidth="1"/>
    <col min="7426" max="7427" width="11.28515625" style="3" customWidth="1"/>
    <col min="7428" max="7429" width="12.42578125" style="3" customWidth="1"/>
    <col min="7430" max="7436" width="12.85546875" style="3" customWidth="1"/>
    <col min="7437" max="7437" width="4" style="3" customWidth="1"/>
    <col min="7438" max="7441" width="11.85546875" style="3" customWidth="1"/>
    <col min="7442" max="7446" width="14.85546875" style="3" customWidth="1"/>
    <col min="7447" max="7680" width="12.42578125" style="3"/>
    <col min="7681" max="7681" width="4" style="3" customWidth="1"/>
    <col min="7682" max="7683" width="11.28515625" style="3" customWidth="1"/>
    <col min="7684" max="7685" width="12.42578125" style="3" customWidth="1"/>
    <col min="7686" max="7692" width="12.85546875" style="3" customWidth="1"/>
    <col min="7693" max="7693" width="4" style="3" customWidth="1"/>
    <col min="7694" max="7697" width="11.85546875" style="3" customWidth="1"/>
    <col min="7698" max="7702" width="14.85546875" style="3" customWidth="1"/>
    <col min="7703" max="7936" width="12.42578125" style="3"/>
    <col min="7937" max="7937" width="4" style="3" customWidth="1"/>
    <col min="7938" max="7939" width="11.28515625" style="3" customWidth="1"/>
    <col min="7940" max="7941" width="12.42578125" style="3" customWidth="1"/>
    <col min="7942" max="7948" width="12.85546875" style="3" customWidth="1"/>
    <col min="7949" max="7949" width="4" style="3" customWidth="1"/>
    <col min="7950" max="7953" width="11.85546875" style="3" customWidth="1"/>
    <col min="7954" max="7958" width="14.85546875" style="3" customWidth="1"/>
    <col min="7959" max="8192" width="12.42578125" style="3"/>
    <col min="8193" max="8193" width="4" style="3" customWidth="1"/>
    <col min="8194" max="8195" width="11.28515625" style="3" customWidth="1"/>
    <col min="8196" max="8197" width="12.42578125" style="3" customWidth="1"/>
    <col min="8198" max="8204" width="12.85546875" style="3" customWidth="1"/>
    <col min="8205" max="8205" width="4" style="3" customWidth="1"/>
    <col min="8206" max="8209" width="11.85546875" style="3" customWidth="1"/>
    <col min="8210" max="8214" width="14.85546875" style="3" customWidth="1"/>
    <col min="8215" max="8448" width="12.42578125" style="3"/>
    <col min="8449" max="8449" width="4" style="3" customWidth="1"/>
    <col min="8450" max="8451" width="11.28515625" style="3" customWidth="1"/>
    <col min="8452" max="8453" width="12.42578125" style="3" customWidth="1"/>
    <col min="8454" max="8460" width="12.85546875" style="3" customWidth="1"/>
    <col min="8461" max="8461" width="4" style="3" customWidth="1"/>
    <col min="8462" max="8465" width="11.85546875" style="3" customWidth="1"/>
    <col min="8466" max="8470" width="14.85546875" style="3" customWidth="1"/>
    <col min="8471" max="8704" width="12.42578125" style="3"/>
    <col min="8705" max="8705" width="4" style="3" customWidth="1"/>
    <col min="8706" max="8707" width="11.28515625" style="3" customWidth="1"/>
    <col min="8708" max="8709" width="12.42578125" style="3" customWidth="1"/>
    <col min="8710" max="8716" width="12.85546875" style="3" customWidth="1"/>
    <col min="8717" max="8717" width="4" style="3" customWidth="1"/>
    <col min="8718" max="8721" width="11.85546875" style="3" customWidth="1"/>
    <col min="8722" max="8726" width="14.85546875" style="3" customWidth="1"/>
    <col min="8727" max="8960" width="12.42578125" style="3"/>
    <col min="8961" max="8961" width="4" style="3" customWidth="1"/>
    <col min="8962" max="8963" width="11.28515625" style="3" customWidth="1"/>
    <col min="8964" max="8965" width="12.42578125" style="3" customWidth="1"/>
    <col min="8966" max="8972" width="12.85546875" style="3" customWidth="1"/>
    <col min="8973" max="8973" width="4" style="3" customWidth="1"/>
    <col min="8974" max="8977" width="11.85546875" style="3" customWidth="1"/>
    <col min="8978" max="8982" width="14.85546875" style="3" customWidth="1"/>
    <col min="8983" max="9216" width="12.42578125" style="3"/>
    <col min="9217" max="9217" width="4" style="3" customWidth="1"/>
    <col min="9218" max="9219" width="11.28515625" style="3" customWidth="1"/>
    <col min="9220" max="9221" width="12.42578125" style="3" customWidth="1"/>
    <col min="9222" max="9228" width="12.85546875" style="3" customWidth="1"/>
    <col min="9229" max="9229" width="4" style="3" customWidth="1"/>
    <col min="9230" max="9233" width="11.85546875" style="3" customWidth="1"/>
    <col min="9234" max="9238" width="14.85546875" style="3" customWidth="1"/>
    <col min="9239" max="9472" width="12.42578125" style="3"/>
    <col min="9473" max="9473" width="4" style="3" customWidth="1"/>
    <col min="9474" max="9475" width="11.28515625" style="3" customWidth="1"/>
    <col min="9476" max="9477" width="12.42578125" style="3" customWidth="1"/>
    <col min="9478" max="9484" width="12.85546875" style="3" customWidth="1"/>
    <col min="9485" max="9485" width="4" style="3" customWidth="1"/>
    <col min="9486" max="9489" width="11.85546875" style="3" customWidth="1"/>
    <col min="9490" max="9494" width="14.85546875" style="3" customWidth="1"/>
    <col min="9495" max="9728" width="12.42578125" style="3"/>
    <col min="9729" max="9729" width="4" style="3" customWidth="1"/>
    <col min="9730" max="9731" width="11.28515625" style="3" customWidth="1"/>
    <col min="9732" max="9733" width="12.42578125" style="3" customWidth="1"/>
    <col min="9734" max="9740" width="12.85546875" style="3" customWidth="1"/>
    <col min="9741" max="9741" width="4" style="3" customWidth="1"/>
    <col min="9742" max="9745" width="11.85546875" style="3" customWidth="1"/>
    <col min="9746" max="9750" width="14.85546875" style="3" customWidth="1"/>
    <col min="9751" max="9984" width="12.42578125" style="3"/>
    <col min="9985" max="9985" width="4" style="3" customWidth="1"/>
    <col min="9986" max="9987" width="11.28515625" style="3" customWidth="1"/>
    <col min="9988" max="9989" width="12.42578125" style="3" customWidth="1"/>
    <col min="9990" max="9996" width="12.85546875" style="3" customWidth="1"/>
    <col min="9997" max="9997" width="4" style="3" customWidth="1"/>
    <col min="9998" max="10001" width="11.85546875" style="3" customWidth="1"/>
    <col min="10002" max="10006" width="14.85546875" style="3" customWidth="1"/>
    <col min="10007" max="10240" width="12.42578125" style="3"/>
    <col min="10241" max="10241" width="4" style="3" customWidth="1"/>
    <col min="10242" max="10243" width="11.28515625" style="3" customWidth="1"/>
    <col min="10244" max="10245" width="12.42578125" style="3" customWidth="1"/>
    <col min="10246" max="10252" width="12.85546875" style="3" customWidth="1"/>
    <col min="10253" max="10253" width="4" style="3" customWidth="1"/>
    <col min="10254" max="10257" width="11.85546875" style="3" customWidth="1"/>
    <col min="10258" max="10262" width="14.85546875" style="3" customWidth="1"/>
    <col min="10263" max="10496" width="12.42578125" style="3"/>
    <col min="10497" max="10497" width="4" style="3" customWidth="1"/>
    <col min="10498" max="10499" width="11.28515625" style="3" customWidth="1"/>
    <col min="10500" max="10501" width="12.42578125" style="3" customWidth="1"/>
    <col min="10502" max="10508" width="12.85546875" style="3" customWidth="1"/>
    <col min="10509" max="10509" width="4" style="3" customWidth="1"/>
    <col min="10510" max="10513" width="11.85546875" style="3" customWidth="1"/>
    <col min="10514" max="10518" width="14.85546875" style="3" customWidth="1"/>
    <col min="10519" max="10752" width="12.42578125" style="3"/>
    <col min="10753" max="10753" width="4" style="3" customWidth="1"/>
    <col min="10754" max="10755" width="11.28515625" style="3" customWidth="1"/>
    <col min="10756" max="10757" width="12.42578125" style="3" customWidth="1"/>
    <col min="10758" max="10764" width="12.85546875" style="3" customWidth="1"/>
    <col min="10765" max="10765" width="4" style="3" customWidth="1"/>
    <col min="10766" max="10769" width="11.85546875" style="3" customWidth="1"/>
    <col min="10770" max="10774" width="14.85546875" style="3" customWidth="1"/>
    <col min="10775" max="11008" width="12.42578125" style="3"/>
    <col min="11009" max="11009" width="4" style="3" customWidth="1"/>
    <col min="11010" max="11011" width="11.28515625" style="3" customWidth="1"/>
    <col min="11012" max="11013" width="12.42578125" style="3" customWidth="1"/>
    <col min="11014" max="11020" width="12.85546875" style="3" customWidth="1"/>
    <col min="11021" max="11021" width="4" style="3" customWidth="1"/>
    <col min="11022" max="11025" width="11.85546875" style="3" customWidth="1"/>
    <col min="11026" max="11030" width="14.85546875" style="3" customWidth="1"/>
    <col min="11031" max="11264" width="12.42578125" style="3"/>
    <col min="11265" max="11265" width="4" style="3" customWidth="1"/>
    <col min="11266" max="11267" width="11.28515625" style="3" customWidth="1"/>
    <col min="11268" max="11269" width="12.42578125" style="3" customWidth="1"/>
    <col min="11270" max="11276" width="12.85546875" style="3" customWidth="1"/>
    <col min="11277" max="11277" width="4" style="3" customWidth="1"/>
    <col min="11278" max="11281" width="11.85546875" style="3" customWidth="1"/>
    <col min="11282" max="11286" width="14.85546875" style="3" customWidth="1"/>
    <col min="11287" max="11520" width="12.42578125" style="3"/>
    <col min="11521" max="11521" width="4" style="3" customWidth="1"/>
    <col min="11522" max="11523" width="11.28515625" style="3" customWidth="1"/>
    <col min="11524" max="11525" width="12.42578125" style="3" customWidth="1"/>
    <col min="11526" max="11532" width="12.85546875" style="3" customWidth="1"/>
    <col min="11533" max="11533" width="4" style="3" customWidth="1"/>
    <col min="11534" max="11537" width="11.85546875" style="3" customWidth="1"/>
    <col min="11538" max="11542" width="14.85546875" style="3" customWidth="1"/>
    <col min="11543" max="11776" width="12.42578125" style="3"/>
    <col min="11777" max="11777" width="4" style="3" customWidth="1"/>
    <col min="11778" max="11779" width="11.28515625" style="3" customWidth="1"/>
    <col min="11780" max="11781" width="12.42578125" style="3" customWidth="1"/>
    <col min="11782" max="11788" width="12.85546875" style="3" customWidth="1"/>
    <col min="11789" max="11789" width="4" style="3" customWidth="1"/>
    <col min="11790" max="11793" width="11.85546875" style="3" customWidth="1"/>
    <col min="11794" max="11798" width="14.85546875" style="3" customWidth="1"/>
    <col min="11799" max="12032" width="12.42578125" style="3"/>
    <col min="12033" max="12033" width="4" style="3" customWidth="1"/>
    <col min="12034" max="12035" width="11.28515625" style="3" customWidth="1"/>
    <col min="12036" max="12037" width="12.42578125" style="3" customWidth="1"/>
    <col min="12038" max="12044" width="12.85546875" style="3" customWidth="1"/>
    <col min="12045" max="12045" width="4" style="3" customWidth="1"/>
    <col min="12046" max="12049" width="11.85546875" style="3" customWidth="1"/>
    <col min="12050" max="12054" width="14.85546875" style="3" customWidth="1"/>
    <col min="12055" max="12288" width="12.42578125" style="3"/>
    <col min="12289" max="12289" width="4" style="3" customWidth="1"/>
    <col min="12290" max="12291" width="11.28515625" style="3" customWidth="1"/>
    <col min="12292" max="12293" width="12.42578125" style="3" customWidth="1"/>
    <col min="12294" max="12300" width="12.85546875" style="3" customWidth="1"/>
    <col min="12301" max="12301" width="4" style="3" customWidth="1"/>
    <col min="12302" max="12305" width="11.85546875" style="3" customWidth="1"/>
    <col min="12306" max="12310" width="14.85546875" style="3" customWidth="1"/>
    <col min="12311" max="12544" width="12.42578125" style="3"/>
    <col min="12545" max="12545" width="4" style="3" customWidth="1"/>
    <col min="12546" max="12547" width="11.28515625" style="3" customWidth="1"/>
    <col min="12548" max="12549" width="12.42578125" style="3" customWidth="1"/>
    <col min="12550" max="12556" width="12.85546875" style="3" customWidth="1"/>
    <col min="12557" max="12557" width="4" style="3" customWidth="1"/>
    <col min="12558" max="12561" width="11.85546875" style="3" customWidth="1"/>
    <col min="12562" max="12566" width="14.85546875" style="3" customWidth="1"/>
    <col min="12567" max="12800" width="12.42578125" style="3"/>
    <col min="12801" max="12801" width="4" style="3" customWidth="1"/>
    <col min="12802" max="12803" width="11.28515625" style="3" customWidth="1"/>
    <col min="12804" max="12805" width="12.42578125" style="3" customWidth="1"/>
    <col min="12806" max="12812" width="12.85546875" style="3" customWidth="1"/>
    <col min="12813" max="12813" width="4" style="3" customWidth="1"/>
    <col min="12814" max="12817" width="11.85546875" style="3" customWidth="1"/>
    <col min="12818" max="12822" width="14.85546875" style="3" customWidth="1"/>
    <col min="12823" max="13056" width="12.42578125" style="3"/>
    <col min="13057" max="13057" width="4" style="3" customWidth="1"/>
    <col min="13058" max="13059" width="11.28515625" style="3" customWidth="1"/>
    <col min="13060" max="13061" width="12.42578125" style="3" customWidth="1"/>
    <col min="13062" max="13068" width="12.85546875" style="3" customWidth="1"/>
    <col min="13069" max="13069" width="4" style="3" customWidth="1"/>
    <col min="13070" max="13073" width="11.85546875" style="3" customWidth="1"/>
    <col min="13074" max="13078" width="14.85546875" style="3" customWidth="1"/>
    <col min="13079" max="13312" width="12.42578125" style="3"/>
    <col min="13313" max="13313" width="4" style="3" customWidth="1"/>
    <col min="13314" max="13315" width="11.28515625" style="3" customWidth="1"/>
    <col min="13316" max="13317" width="12.42578125" style="3" customWidth="1"/>
    <col min="13318" max="13324" width="12.85546875" style="3" customWidth="1"/>
    <col min="13325" max="13325" width="4" style="3" customWidth="1"/>
    <col min="13326" max="13329" width="11.85546875" style="3" customWidth="1"/>
    <col min="13330" max="13334" width="14.85546875" style="3" customWidth="1"/>
    <col min="13335" max="13568" width="12.42578125" style="3"/>
    <col min="13569" max="13569" width="4" style="3" customWidth="1"/>
    <col min="13570" max="13571" width="11.28515625" style="3" customWidth="1"/>
    <col min="13572" max="13573" width="12.42578125" style="3" customWidth="1"/>
    <col min="13574" max="13580" width="12.85546875" style="3" customWidth="1"/>
    <col min="13581" max="13581" width="4" style="3" customWidth="1"/>
    <col min="13582" max="13585" width="11.85546875" style="3" customWidth="1"/>
    <col min="13586" max="13590" width="14.85546875" style="3" customWidth="1"/>
    <col min="13591" max="13824" width="12.42578125" style="3"/>
    <col min="13825" max="13825" width="4" style="3" customWidth="1"/>
    <col min="13826" max="13827" width="11.28515625" style="3" customWidth="1"/>
    <col min="13828" max="13829" width="12.42578125" style="3" customWidth="1"/>
    <col min="13830" max="13836" width="12.85546875" style="3" customWidth="1"/>
    <col min="13837" max="13837" width="4" style="3" customWidth="1"/>
    <col min="13838" max="13841" width="11.85546875" style="3" customWidth="1"/>
    <col min="13842" max="13846" width="14.85546875" style="3" customWidth="1"/>
    <col min="13847" max="14080" width="12.42578125" style="3"/>
    <col min="14081" max="14081" width="4" style="3" customWidth="1"/>
    <col min="14082" max="14083" width="11.28515625" style="3" customWidth="1"/>
    <col min="14084" max="14085" width="12.42578125" style="3" customWidth="1"/>
    <col min="14086" max="14092" width="12.85546875" style="3" customWidth="1"/>
    <col min="14093" max="14093" width="4" style="3" customWidth="1"/>
    <col min="14094" max="14097" width="11.85546875" style="3" customWidth="1"/>
    <col min="14098" max="14102" width="14.85546875" style="3" customWidth="1"/>
    <col min="14103" max="14336" width="12.42578125" style="3"/>
    <col min="14337" max="14337" width="4" style="3" customWidth="1"/>
    <col min="14338" max="14339" width="11.28515625" style="3" customWidth="1"/>
    <col min="14340" max="14341" width="12.42578125" style="3" customWidth="1"/>
    <col min="14342" max="14348" width="12.85546875" style="3" customWidth="1"/>
    <col min="14349" max="14349" width="4" style="3" customWidth="1"/>
    <col min="14350" max="14353" width="11.85546875" style="3" customWidth="1"/>
    <col min="14354" max="14358" width="14.85546875" style="3" customWidth="1"/>
    <col min="14359" max="14592" width="12.42578125" style="3"/>
    <col min="14593" max="14593" width="4" style="3" customWidth="1"/>
    <col min="14594" max="14595" width="11.28515625" style="3" customWidth="1"/>
    <col min="14596" max="14597" width="12.42578125" style="3" customWidth="1"/>
    <col min="14598" max="14604" width="12.85546875" style="3" customWidth="1"/>
    <col min="14605" max="14605" width="4" style="3" customWidth="1"/>
    <col min="14606" max="14609" width="11.85546875" style="3" customWidth="1"/>
    <col min="14610" max="14614" width="14.85546875" style="3" customWidth="1"/>
    <col min="14615" max="14848" width="12.42578125" style="3"/>
    <col min="14849" max="14849" width="4" style="3" customWidth="1"/>
    <col min="14850" max="14851" width="11.28515625" style="3" customWidth="1"/>
    <col min="14852" max="14853" width="12.42578125" style="3" customWidth="1"/>
    <col min="14854" max="14860" width="12.85546875" style="3" customWidth="1"/>
    <col min="14861" max="14861" width="4" style="3" customWidth="1"/>
    <col min="14862" max="14865" width="11.85546875" style="3" customWidth="1"/>
    <col min="14866" max="14870" width="14.85546875" style="3" customWidth="1"/>
    <col min="14871" max="15104" width="12.42578125" style="3"/>
    <col min="15105" max="15105" width="4" style="3" customWidth="1"/>
    <col min="15106" max="15107" width="11.28515625" style="3" customWidth="1"/>
    <col min="15108" max="15109" width="12.42578125" style="3" customWidth="1"/>
    <col min="15110" max="15116" width="12.85546875" style="3" customWidth="1"/>
    <col min="15117" max="15117" width="4" style="3" customWidth="1"/>
    <col min="15118" max="15121" width="11.85546875" style="3" customWidth="1"/>
    <col min="15122" max="15126" width="14.85546875" style="3" customWidth="1"/>
    <col min="15127" max="15360" width="12.42578125" style="3"/>
    <col min="15361" max="15361" width="4" style="3" customWidth="1"/>
    <col min="15362" max="15363" width="11.28515625" style="3" customWidth="1"/>
    <col min="15364" max="15365" width="12.42578125" style="3" customWidth="1"/>
    <col min="15366" max="15372" width="12.85546875" style="3" customWidth="1"/>
    <col min="15373" max="15373" width="4" style="3" customWidth="1"/>
    <col min="15374" max="15377" width="11.85546875" style="3" customWidth="1"/>
    <col min="15378" max="15382" width="14.85546875" style="3" customWidth="1"/>
    <col min="15383" max="15616" width="12.42578125" style="3"/>
    <col min="15617" max="15617" width="4" style="3" customWidth="1"/>
    <col min="15618" max="15619" width="11.28515625" style="3" customWidth="1"/>
    <col min="15620" max="15621" width="12.42578125" style="3" customWidth="1"/>
    <col min="15622" max="15628" width="12.85546875" style="3" customWidth="1"/>
    <col min="15629" max="15629" width="4" style="3" customWidth="1"/>
    <col min="15630" max="15633" width="11.85546875" style="3" customWidth="1"/>
    <col min="15634" max="15638" width="14.85546875" style="3" customWidth="1"/>
    <col min="15639" max="15872" width="12.42578125" style="3"/>
    <col min="15873" max="15873" width="4" style="3" customWidth="1"/>
    <col min="15874" max="15875" width="11.28515625" style="3" customWidth="1"/>
    <col min="15876" max="15877" width="12.42578125" style="3" customWidth="1"/>
    <col min="15878" max="15884" width="12.85546875" style="3" customWidth="1"/>
    <col min="15885" max="15885" width="4" style="3" customWidth="1"/>
    <col min="15886" max="15889" width="11.85546875" style="3" customWidth="1"/>
    <col min="15890" max="15894" width="14.85546875" style="3" customWidth="1"/>
    <col min="15895" max="16128" width="12.42578125" style="3"/>
    <col min="16129" max="16129" width="4" style="3" customWidth="1"/>
    <col min="16130" max="16131" width="11.28515625" style="3" customWidth="1"/>
    <col min="16132" max="16133" width="12.42578125" style="3" customWidth="1"/>
    <col min="16134" max="16140" width="12.85546875" style="3" customWidth="1"/>
    <col min="16141" max="16141" width="4" style="3" customWidth="1"/>
    <col min="16142" max="16145" width="11.85546875" style="3" customWidth="1"/>
    <col min="16146" max="16150" width="14.85546875" style="3" customWidth="1"/>
    <col min="16151" max="16384" width="12.42578125" style="3"/>
  </cols>
  <sheetData>
    <row r="1" spans="1:22">
      <c r="F1" s="27" t="s">
        <v>21</v>
      </c>
      <c r="G1" s="27" t="s">
        <v>22</v>
      </c>
      <c r="H1" s="28"/>
    </row>
    <row r="2" spans="1:22">
      <c r="E2" s="27" t="s">
        <v>23</v>
      </c>
      <c r="F2" s="30">
        <v>100</v>
      </c>
      <c r="G2" s="30">
        <v>30</v>
      </c>
      <c r="H2" s="28"/>
    </row>
    <row r="4" spans="1:22">
      <c r="I4" s="31"/>
    </row>
    <row r="5" spans="1:22" ht="30">
      <c r="E5" s="27"/>
      <c r="F5" s="27" t="s">
        <v>24</v>
      </c>
      <c r="G5" s="27" t="s">
        <v>25</v>
      </c>
      <c r="H5" s="27" t="s">
        <v>47</v>
      </c>
      <c r="J5" s="27"/>
      <c r="K5" s="27" t="s">
        <v>24</v>
      </c>
      <c r="L5" s="27" t="s">
        <v>25</v>
      </c>
    </row>
    <row r="6" spans="1:22" ht="16.5">
      <c r="E6" s="27" t="s">
        <v>26</v>
      </c>
      <c r="F6" s="32">
        <v>10000</v>
      </c>
      <c r="G6" s="33">
        <v>85</v>
      </c>
      <c r="H6" s="30">
        <v>3000</v>
      </c>
      <c r="J6" s="27" t="s">
        <v>35</v>
      </c>
      <c r="K6" s="35">
        <f ca="1">INDEX(LINEST( $G$13:$G$36,$F$13:$F$36, $K$7, FALSE()), 1, 2)</f>
        <v>10440.356008432766</v>
      </c>
      <c r="L6" s="35">
        <f ca="1">IF(K7,INDEX(LINEST($G$13:$G$36,$F$13:$F$36,$K$7,FALSE()),1,1),SUM($G$13:$G$36) / SUM($F$13:$F$36))</f>
        <v>86.538040663420759</v>
      </c>
    </row>
    <row r="7" spans="1:22">
      <c r="J7" s="36" t="s">
        <v>28</v>
      </c>
      <c r="K7" s="30" t="b">
        <f>TRUE()</f>
        <v>1</v>
      </c>
    </row>
    <row r="8" spans="1:22">
      <c r="E8" s="36"/>
      <c r="I8" s="31"/>
      <c r="N8" s="31" t="str">
        <f ca="1">"% d'erreur de l'estimé vs Réel
Marge d'erreur = " &amp; TEXT(H9,"#0%")</f>
        <v>% d'erreur de l'estimé vs Réel
Marge d'erreur = 13%</v>
      </c>
    </row>
    <row r="9" spans="1:22">
      <c r="F9" s="28"/>
      <c r="G9" s="28" t="str">
        <f ca="1">"Marge d'erreur: " &amp; ROUND(J37,0) &amp; " ÷ " &amp; ROUND(H37,0)</f>
        <v>Marge d'erreur: 2408 ÷ 17842</v>
      </c>
      <c r="H9" s="50">
        <f ca="1">ROUND(J37 / H37,4)</f>
        <v>0.13489999999999999</v>
      </c>
      <c r="I9" s="31"/>
      <c r="N9" s="31" t="str">
        <f ca="1">"Marge d'erreur = " &amp; $H$9</f>
        <v>Marge d'erreur = 0.1349</v>
      </c>
    </row>
    <row r="10" spans="1:22">
      <c r="B10" s="40"/>
      <c r="I10" s="31"/>
    </row>
    <row r="11" spans="1:22" ht="33">
      <c r="B11" s="29" t="s">
        <v>32</v>
      </c>
      <c r="C11" s="29" t="s">
        <v>33</v>
      </c>
      <c r="E11" s="29" t="s">
        <v>6</v>
      </c>
      <c r="F11" s="41" t="s">
        <v>34</v>
      </c>
      <c r="G11" s="41" t="s">
        <v>26</v>
      </c>
      <c r="H11" s="70" t="s">
        <v>35</v>
      </c>
      <c r="I11" s="41" t="s">
        <v>36</v>
      </c>
      <c r="J11" s="41" t="s">
        <v>37</v>
      </c>
      <c r="K11" s="29" t="s">
        <v>38</v>
      </c>
      <c r="L11" s="29" t="s">
        <v>39</v>
      </c>
      <c r="N11" s="42" t="str">
        <f ca="1">"1 Erreur = " &amp; TEXT($H$9,"#0%")</f>
        <v>1 Erreur = 13%</v>
      </c>
      <c r="O11" s="42" t="str">
        <f ca="1">"-1 Erreur = " &amp; TEXT(-$H$9,"#0%")</f>
        <v>-1 Erreur = -13%</v>
      </c>
      <c r="P11" s="42" t="str">
        <f ca="1">"2 Erreurs = " &amp; TEXT(2 * $H$9,"#0%")</f>
        <v>2 Erreurs = 27%</v>
      </c>
      <c r="Q11" s="42" t="str">
        <f ca="1">"2 Erreurs = " &amp; TEXT(-2 * $H$9,"#0%")</f>
        <v>2 Erreurs = -27%</v>
      </c>
      <c r="R11" s="42"/>
      <c r="S11" s="42"/>
      <c r="T11" s="42"/>
      <c r="U11" s="42"/>
      <c r="V11" s="42"/>
    </row>
    <row r="12" spans="1:22" ht="16.5">
      <c r="B12" s="42"/>
      <c r="C12" s="29"/>
      <c r="E12" s="29"/>
      <c r="F12" s="41" t="s">
        <v>13</v>
      </c>
      <c r="G12" s="41" t="s">
        <v>9</v>
      </c>
      <c r="H12" s="70" t="s">
        <v>14</v>
      </c>
      <c r="I12" s="41" t="s">
        <v>48</v>
      </c>
      <c r="J12" s="41" t="s">
        <v>49</v>
      </c>
      <c r="K12" s="29" t="s">
        <v>50</v>
      </c>
      <c r="L12" s="29" t="s">
        <v>51</v>
      </c>
      <c r="N12" s="42"/>
      <c r="O12" s="42"/>
      <c r="P12" s="42"/>
      <c r="Q12" s="42"/>
      <c r="R12" s="42"/>
      <c r="S12" s="42"/>
      <c r="T12" s="42"/>
      <c r="U12" s="42"/>
      <c r="V12" s="42"/>
    </row>
    <row r="13" spans="1:22" ht="15.75">
      <c r="A13" s="43"/>
      <c r="B13" s="43">
        <f ca="1">_xlfn.NORM.S.INV(RAND())</f>
        <v>-0.6825652098729863</v>
      </c>
      <c r="C13" s="43">
        <f ca="1">_xlfn.NORM.S.INV(RAND())</f>
        <v>0.1166458702334864</v>
      </c>
      <c r="E13" s="4">
        <v>1</v>
      </c>
      <c r="F13" s="44">
        <f ca="1">$F$2 + B13 * $G$2</f>
        <v>79.523043703810416</v>
      </c>
      <c r="G13" s="44">
        <f ca="1">$F$6 + F13 * $G$6 + C13 * $H$6</f>
        <v>17109.396325524347</v>
      </c>
      <c r="H13" s="71">
        <f t="shared" ref="H13:H36" ca="1" si="0">$K$6 + F13 * $L$6</f>
        <v>17322.124398152097</v>
      </c>
      <c r="I13" s="44">
        <f ca="1">G13-H13</f>
        <v>-212.7280726277495</v>
      </c>
      <c r="J13" s="44">
        <f ca="1">ABS(I13)</f>
        <v>212.7280726277495</v>
      </c>
      <c r="K13" s="45">
        <f ca="1">I13 / H$13</f>
        <v>-1.2280714982652074E-2</v>
      </c>
      <c r="L13" s="45">
        <f ca="1">ABS(K13)</f>
        <v>1.2280714982652074E-2</v>
      </c>
      <c r="N13" s="45">
        <f ca="1">$H$9</f>
        <v>0.13489999999999999</v>
      </c>
      <c r="O13" s="45">
        <f ca="1">-$H$9</f>
        <v>-0.13489999999999999</v>
      </c>
      <c r="P13" s="45">
        <f ca="1">2 * $H$9</f>
        <v>0.26979999999999998</v>
      </c>
      <c r="Q13" s="45">
        <f ca="1">-2 * $H$9</f>
        <v>-0.26979999999999998</v>
      </c>
      <c r="R13" s="45"/>
      <c r="S13" s="45"/>
      <c r="T13" s="45"/>
      <c r="U13" s="45"/>
      <c r="V13" s="45"/>
    </row>
    <row r="14" spans="1:22" ht="15.75">
      <c r="A14" s="43"/>
      <c r="B14" s="43">
        <f t="shared" ref="B14:C36" ca="1" si="1">_xlfn.NORM.S.INV(RAND())</f>
        <v>-0.63321125424084312</v>
      </c>
      <c r="C14" s="43">
        <f t="shared" ca="1" si="1"/>
        <v>-0.84420636364242985</v>
      </c>
      <c r="E14" s="4">
        <v>2</v>
      </c>
      <c r="F14" s="44">
        <f t="shared" ref="F14:F36" ca="1" si="2">$F$2 + B14 * $G$2</f>
        <v>81.003662372774698</v>
      </c>
      <c r="G14" s="44">
        <f t="shared" ref="G14:G36" ca="1" si="3">$F$6 + F14 * $G$6 + C14 * $H$6</f>
        <v>14352.692210758558</v>
      </c>
      <c r="H14" s="71">
        <f t="shared" ca="1" si="0"/>
        <v>17450.254236733948</v>
      </c>
      <c r="I14" s="44">
        <f t="shared" ref="I14:I36" ca="1" si="4">G14-H14</f>
        <v>-3097.5620259753905</v>
      </c>
      <c r="J14" s="44">
        <f t="shared" ref="J14:J36" ca="1" si="5">ABS(I14)</f>
        <v>3097.5620259753905</v>
      </c>
      <c r="K14" s="45">
        <f t="shared" ref="K14:K36" ca="1" si="6">I14 / H14</f>
        <v>-0.17750813162680554</v>
      </c>
      <c r="L14" s="45">
        <f t="shared" ref="L14:L36" ca="1" si="7">ABS(K14)</f>
        <v>0.17750813162680554</v>
      </c>
      <c r="N14" s="45">
        <f t="shared" ref="N14:N36" ca="1" si="8">$H$9</f>
        <v>0.13489999999999999</v>
      </c>
      <c r="O14" s="45">
        <f t="shared" ref="O14:O36" ca="1" si="9">-$H$9</f>
        <v>-0.13489999999999999</v>
      </c>
      <c r="P14" s="45">
        <f t="shared" ref="P14:P36" ca="1" si="10">2 * $H$9</f>
        <v>0.26979999999999998</v>
      </c>
      <c r="Q14" s="45">
        <f t="shared" ref="Q14:Q36" ca="1" si="11">-2 * $H$9</f>
        <v>-0.26979999999999998</v>
      </c>
      <c r="R14" s="45"/>
      <c r="S14" s="45"/>
      <c r="T14" s="45"/>
      <c r="U14" s="45"/>
      <c r="V14" s="45"/>
    </row>
    <row r="15" spans="1:22" ht="15.75">
      <c r="A15" s="43"/>
      <c r="B15" s="43">
        <f t="shared" ca="1" si="1"/>
        <v>-0.91167701096834164</v>
      </c>
      <c r="C15" s="43">
        <f t="shared" ca="1" si="1"/>
        <v>2.7583706558638301</v>
      </c>
      <c r="E15" s="4">
        <v>3</v>
      </c>
      <c r="F15" s="44">
        <f t="shared" ca="1" si="2"/>
        <v>72.649689670949755</v>
      </c>
      <c r="G15" s="44">
        <f t="shared" ca="1" si="3"/>
        <v>24450.33558962222</v>
      </c>
      <c r="H15" s="71">
        <f t="shared" ca="1" si="0"/>
        <v>16727.317807362313</v>
      </c>
      <c r="I15" s="44">
        <f t="shared" ca="1" si="4"/>
        <v>7723.0177822599071</v>
      </c>
      <c r="J15" s="44">
        <f t="shared" ca="1" si="5"/>
        <v>7723.0177822599071</v>
      </c>
      <c r="K15" s="45">
        <f t="shared" ca="1" si="6"/>
        <v>0.46170090573999378</v>
      </c>
      <c r="L15" s="45">
        <f t="shared" ca="1" si="7"/>
        <v>0.46170090573999378</v>
      </c>
      <c r="N15" s="45">
        <f t="shared" ca="1" si="8"/>
        <v>0.13489999999999999</v>
      </c>
      <c r="O15" s="45">
        <f t="shared" ca="1" si="9"/>
        <v>-0.13489999999999999</v>
      </c>
      <c r="P15" s="45">
        <f t="shared" ca="1" si="10"/>
        <v>0.26979999999999998</v>
      </c>
      <c r="Q15" s="45">
        <f t="shared" ca="1" si="11"/>
        <v>-0.26979999999999998</v>
      </c>
      <c r="R15" s="45"/>
      <c r="S15" s="45"/>
      <c r="T15" s="45"/>
      <c r="U15" s="45"/>
      <c r="V15" s="45"/>
    </row>
    <row r="16" spans="1:22" ht="15.75">
      <c r="A16" s="43"/>
      <c r="B16" s="43">
        <f t="shared" ca="1" si="1"/>
        <v>-0.31080029546368521</v>
      </c>
      <c r="C16" s="43">
        <f t="shared" ca="1" si="1"/>
        <v>-1.3197551764735946</v>
      </c>
      <c r="E16" s="4">
        <v>4</v>
      </c>
      <c r="F16" s="44">
        <f t="shared" ca="1" si="2"/>
        <v>90.675991136089436</v>
      </c>
      <c r="G16" s="44">
        <f t="shared" ca="1" si="3"/>
        <v>13748.19371714682</v>
      </c>
      <c r="H16" s="71">
        <f t="shared" ca="1" si="0"/>
        <v>18287.278616563653</v>
      </c>
      <c r="I16" s="44">
        <f t="shared" ca="1" si="4"/>
        <v>-4539.0848994168337</v>
      </c>
      <c r="J16" s="44">
        <f t="shared" ca="1" si="5"/>
        <v>4539.0848994168337</v>
      </c>
      <c r="K16" s="45">
        <f t="shared" ca="1" si="6"/>
        <v>-0.24820997123681213</v>
      </c>
      <c r="L16" s="45">
        <f t="shared" ca="1" si="7"/>
        <v>0.24820997123681213</v>
      </c>
      <c r="N16" s="45">
        <f t="shared" ca="1" si="8"/>
        <v>0.13489999999999999</v>
      </c>
      <c r="O16" s="45">
        <f t="shared" ca="1" si="9"/>
        <v>-0.13489999999999999</v>
      </c>
      <c r="P16" s="45">
        <f t="shared" ca="1" si="10"/>
        <v>0.26979999999999998</v>
      </c>
      <c r="Q16" s="45">
        <f t="shared" ca="1" si="11"/>
        <v>-0.26979999999999998</v>
      </c>
      <c r="R16" s="45"/>
      <c r="S16" s="45"/>
      <c r="T16" s="45"/>
      <c r="U16" s="45"/>
      <c r="V16" s="45"/>
    </row>
    <row r="17" spans="1:22" ht="15.75">
      <c r="A17" s="43"/>
      <c r="B17" s="43">
        <f t="shared" ca="1" si="1"/>
        <v>-1.6544610812259681</v>
      </c>
      <c r="C17" s="43">
        <f t="shared" ca="1" si="1"/>
        <v>-1.2207503244876119</v>
      </c>
      <c r="E17" s="4">
        <v>5</v>
      </c>
      <c r="F17" s="44">
        <f t="shared" ca="1" si="2"/>
        <v>50.366167563220955</v>
      </c>
      <c r="G17" s="44">
        <f t="shared" ca="1" si="3"/>
        <v>10618.873269410946</v>
      </c>
      <c r="H17" s="71">
        <f t="shared" ca="1" si="0"/>
        <v>14798.945465079443</v>
      </c>
      <c r="I17" s="44">
        <f t="shared" ca="1" si="4"/>
        <v>-4180.0721956684974</v>
      </c>
      <c r="J17" s="44">
        <f t="shared" ca="1" si="5"/>
        <v>4180.0721956684974</v>
      </c>
      <c r="K17" s="45">
        <f t="shared" ca="1" si="6"/>
        <v>-0.28245743627693393</v>
      </c>
      <c r="L17" s="45">
        <f t="shared" ca="1" si="7"/>
        <v>0.28245743627693393</v>
      </c>
      <c r="N17" s="45">
        <f t="shared" ca="1" si="8"/>
        <v>0.13489999999999999</v>
      </c>
      <c r="O17" s="45">
        <f t="shared" ca="1" si="9"/>
        <v>-0.13489999999999999</v>
      </c>
      <c r="P17" s="45">
        <f t="shared" ca="1" si="10"/>
        <v>0.26979999999999998</v>
      </c>
      <c r="Q17" s="45">
        <f t="shared" ca="1" si="11"/>
        <v>-0.26979999999999998</v>
      </c>
      <c r="R17" s="45"/>
      <c r="S17" s="45"/>
      <c r="T17" s="45"/>
      <c r="U17" s="45"/>
      <c r="V17" s="45"/>
    </row>
    <row r="18" spans="1:22" ht="15.75">
      <c r="A18" s="43"/>
      <c r="B18" s="43">
        <f t="shared" ca="1" si="1"/>
        <v>-1.6720849082812932</v>
      </c>
      <c r="C18" s="43">
        <f t="shared" ca="1" si="1"/>
        <v>1.5617893683912769</v>
      </c>
      <c r="E18" s="4">
        <v>6</v>
      </c>
      <c r="F18" s="44">
        <f t="shared" ca="1" si="2"/>
        <v>49.837452751561202</v>
      </c>
      <c r="G18" s="44">
        <f t="shared" ca="1" si="3"/>
        <v>18921.551589056533</v>
      </c>
      <c r="H18" s="71">
        <f t="shared" ca="1" si="0"/>
        <v>14753.191521208679</v>
      </c>
      <c r="I18" s="44">
        <f t="shared" ca="1" si="4"/>
        <v>4168.3600678478542</v>
      </c>
      <c r="J18" s="44">
        <f t="shared" ca="1" si="5"/>
        <v>4168.3600678478542</v>
      </c>
      <c r="K18" s="45">
        <f t="shared" ca="1" si="6"/>
        <v>0.28253954826354444</v>
      </c>
      <c r="L18" s="45">
        <f t="shared" ca="1" si="7"/>
        <v>0.28253954826354444</v>
      </c>
      <c r="N18" s="45">
        <f t="shared" ca="1" si="8"/>
        <v>0.13489999999999999</v>
      </c>
      <c r="O18" s="45">
        <f t="shared" ca="1" si="9"/>
        <v>-0.13489999999999999</v>
      </c>
      <c r="P18" s="45">
        <f t="shared" ca="1" si="10"/>
        <v>0.26979999999999998</v>
      </c>
      <c r="Q18" s="45">
        <f t="shared" ca="1" si="11"/>
        <v>-0.26979999999999998</v>
      </c>
      <c r="R18" s="45"/>
      <c r="S18" s="45"/>
      <c r="T18" s="45"/>
      <c r="U18" s="45"/>
      <c r="V18" s="45"/>
    </row>
    <row r="19" spans="1:22" ht="15.75">
      <c r="A19" s="43"/>
      <c r="B19" s="43">
        <f t="shared" ca="1" si="1"/>
        <v>0.7001584704335575</v>
      </c>
      <c r="C19" s="43">
        <f t="shared" ca="1" si="1"/>
        <v>0.31514954753140506</v>
      </c>
      <c r="E19" s="4">
        <v>7</v>
      </c>
      <c r="F19" s="44">
        <f t="shared" ca="1" si="2"/>
        <v>121.00475411300673</v>
      </c>
      <c r="G19" s="44">
        <f t="shared" ca="1" si="3"/>
        <v>21230.852742199786</v>
      </c>
      <c r="H19" s="71">
        <f t="shared" ca="1" si="0"/>
        <v>20911.87034033137</v>
      </c>
      <c r="I19" s="44">
        <f t="shared" ca="1" si="4"/>
        <v>318.98240186841576</v>
      </c>
      <c r="J19" s="44">
        <f t="shared" ca="1" si="5"/>
        <v>318.98240186841576</v>
      </c>
      <c r="K19" s="45">
        <f t="shared" ca="1" si="6"/>
        <v>1.5253652431710762E-2</v>
      </c>
      <c r="L19" s="45">
        <f t="shared" ca="1" si="7"/>
        <v>1.5253652431710762E-2</v>
      </c>
      <c r="N19" s="45">
        <f t="shared" ca="1" si="8"/>
        <v>0.13489999999999999</v>
      </c>
      <c r="O19" s="45">
        <f t="shared" ca="1" si="9"/>
        <v>-0.13489999999999999</v>
      </c>
      <c r="P19" s="45">
        <f t="shared" ca="1" si="10"/>
        <v>0.26979999999999998</v>
      </c>
      <c r="Q19" s="45">
        <f t="shared" ca="1" si="11"/>
        <v>-0.26979999999999998</v>
      </c>
      <c r="R19" s="45"/>
      <c r="S19" s="45"/>
      <c r="T19" s="45"/>
      <c r="U19" s="45"/>
      <c r="V19" s="45"/>
    </row>
    <row r="20" spans="1:22" ht="15.75">
      <c r="A20" s="43"/>
      <c r="B20" s="43">
        <f t="shared" ca="1" si="1"/>
        <v>-0.77231268825195321</v>
      </c>
      <c r="C20" s="43">
        <f t="shared" ca="1" si="1"/>
        <v>0.92057436963391703</v>
      </c>
      <c r="E20" s="4">
        <v>8</v>
      </c>
      <c r="F20" s="44">
        <f t="shared" ca="1" si="2"/>
        <v>76.830619352441403</v>
      </c>
      <c r="G20" s="44">
        <f t="shared" ca="1" si="3"/>
        <v>19292.32575385927</v>
      </c>
      <c r="H20" s="71">
        <f t="shared" ca="1" si="0"/>
        <v>17089.12727015014</v>
      </c>
      <c r="I20" s="44">
        <f t="shared" ca="1" si="4"/>
        <v>2203.1984837091295</v>
      </c>
      <c r="J20" s="44">
        <f t="shared" ca="1" si="5"/>
        <v>2203.1984837091295</v>
      </c>
      <c r="K20" s="45">
        <f t="shared" ca="1" si="6"/>
        <v>0.12892399060995308</v>
      </c>
      <c r="L20" s="45">
        <f t="shared" ca="1" si="7"/>
        <v>0.12892399060995308</v>
      </c>
      <c r="N20" s="45">
        <f t="shared" ca="1" si="8"/>
        <v>0.13489999999999999</v>
      </c>
      <c r="O20" s="45">
        <f t="shared" ca="1" si="9"/>
        <v>-0.13489999999999999</v>
      </c>
      <c r="P20" s="45">
        <f t="shared" ca="1" si="10"/>
        <v>0.26979999999999998</v>
      </c>
      <c r="Q20" s="45">
        <f t="shared" ca="1" si="11"/>
        <v>-0.26979999999999998</v>
      </c>
      <c r="R20" s="45"/>
      <c r="S20" s="45"/>
      <c r="T20" s="45"/>
      <c r="U20" s="45"/>
      <c r="V20" s="45"/>
    </row>
    <row r="21" spans="1:22" ht="15.75">
      <c r="A21" s="43"/>
      <c r="B21" s="43">
        <f t="shared" ca="1" si="1"/>
        <v>-0.42803753653992044</v>
      </c>
      <c r="C21" s="43">
        <f t="shared" ca="1" si="1"/>
        <v>0.48043116895809512</v>
      </c>
      <c r="E21" s="4">
        <v>9</v>
      </c>
      <c r="F21" s="44">
        <f t="shared" ca="1" si="2"/>
        <v>87.158873903802387</v>
      </c>
      <c r="G21" s="44">
        <f t="shared" ca="1" si="3"/>
        <v>18849.797788697488</v>
      </c>
      <c r="H21" s="71">
        <f t="shared" ca="1" si="0"/>
        <v>17982.914182497978</v>
      </c>
      <c r="I21" s="44">
        <f t="shared" ca="1" si="4"/>
        <v>866.88360619950981</v>
      </c>
      <c r="J21" s="44">
        <f t="shared" ca="1" si="5"/>
        <v>866.88360619950981</v>
      </c>
      <c r="K21" s="45">
        <f t="shared" ca="1" si="6"/>
        <v>4.8205958022266023E-2</v>
      </c>
      <c r="L21" s="45">
        <f t="shared" ca="1" si="7"/>
        <v>4.8205958022266023E-2</v>
      </c>
      <c r="N21" s="45">
        <f t="shared" ca="1" si="8"/>
        <v>0.13489999999999999</v>
      </c>
      <c r="O21" s="45">
        <f t="shared" ca="1" si="9"/>
        <v>-0.13489999999999999</v>
      </c>
      <c r="P21" s="45">
        <f t="shared" ca="1" si="10"/>
        <v>0.26979999999999998</v>
      </c>
      <c r="Q21" s="45">
        <f t="shared" ca="1" si="11"/>
        <v>-0.26979999999999998</v>
      </c>
      <c r="R21" s="45"/>
      <c r="S21" s="45"/>
      <c r="T21" s="45"/>
      <c r="U21" s="45"/>
      <c r="V21" s="45"/>
    </row>
    <row r="22" spans="1:22" ht="15.75">
      <c r="A22" s="43"/>
      <c r="B22" s="43">
        <f t="shared" ca="1" si="1"/>
        <v>-8.7843971102098364E-2</v>
      </c>
      <c r="C22" s="43">
        <f t="shared" ca="1" si="1"/>
        <v>-0.88995110381112408</v>
      </c>
      <c r="E22" s="4">
        <v>10</v>
      </c>
      <c r="F22" s="44">
        <f t="shared" ca="1" si="2"/>
        <v>97.36468086693705</v>
      </c>
      <c r="G22" s="44">
        <f t="shared" ca="1" si="3"/>
        <v>15606.144562256279</v>
      </c>
      <c r="H22" s="71">
        <f t="shared" ca="1" si="0"/>
        <v>18866.104720476749</v>
      </c>
      <c r="I22" s="44">
        <f t="shared" ca="1" si="4"/>
        <v>-3259.9601582204705</v>
      </c>
      <c r="J22" s="44">
        <f t="shared" ca="1" si="5"/>
        <v>3259.9601582204705</v>
      </c>
      <c r="K22" s="45">
        <f t="shared" ca="1" si="6"/>
        <v>-0.17279455438844246</v>
      </c>
      <c r="L22" s="45">
        <f t="shared" ca="1" si="7"/>
        <v>0.17279455438844246</v>
      </c>
      <c r="N22" s="45">
        <f t="shared" ca="1" si="8"/>
        <v>0.13489999999999999</v>
      </c>
      <c r="O22" s="45">
        <f t="shared" ca="1" si="9"/>
        <v>-0.13489999999999999</v>
      </c>
      <c r="P22" s="45">
        <f t="shared" ca="1" si="10"/>
        <v>0.26979999999999998</v>
      </c>
      <c r="Q22" s="45">
        <f t="shared" ca="1" si="11"/>
        <v>-0.26979999999999998</v>
      </c>
      <c r="R22" s="45"/>
      <c r="S22" s="45"/>
      <c r="T22" s="45"/>
      <c r="U22" s="45"/>
      <c r="V22" s="45"/>
    </row>
    <row r="23" spans="1:22" ht="15.75">
      <c r="A23" s="43"/>
      <c r="B23" s="43">
        <f t="shared" ca="1" si="1"/>
        <v>-1.3500466992986198</v>
      </c>
      <c r="C23" s="43">
        <f t="shared" ca="1" si="1"/>
        <v>-0.27578982686685111</v>
      </c>
      <c r="E23" s="4">
        <v>11</v>
      </c>
      <c r="F23" s="44">
        <f t="shared" ca="1" si="2"/>
        <v>59.498599021041407</v>
      </c>
      <c r="G23" s="44">
        <f t="shared" ca="1" si="3"/>
        <v>14230.011436187966</v>
      </c>
      <c r="H23" s="71">
        <f t="shared" ca="1" si="0"/>
        <v>15589.248189932214</v>
      </c>
      <c r="I23" s="44">
        <f t="shared" ca="1" si="4"/>
        <v>-1359.2367537442478</v>
      </c>
      <c r="J23" s="44">
        <f t="shared" ca="1" si="5"/>
        <v>1359.2367537442478</v>
      </c>
      <c r="K23" s="45">
        <f t="shared" ca="1" si="6"/>
        <v>-8.7190654557803796E-2</v>
      </c>
      <c r="L23" s="45">
        <f t="shared" ca="1" si="7"/>
        <v>8.7190654557803796E-2</v>
      </c>
      <c r="N23" s="45">
        <f t="shared" ca="1" si="8"/>
        <v>0.13489999999999999</v>
      </c>
      <c r="O23" s="45">
        <f t="shared" ca="1" si="9"/>
        <v>-0.13489999999999999</v>
      </c>
      <c r="P23" s="45">
        <f t="shared" ca="1" si="10"/>
        <v>0.26979999999999998</v>
      </c>
      <c r="Q23" s="45">
        <f t="shared" ca="1" si="11"/>
        <v>-0.26979999999999998</v>
      </c>
      <c r="R23" s="45"/>
      <c r="S23" s="45"/>
      <c r="T23" s="45"/>
      <c r="U23" s="45"/>
      <c r="V23" s="45"/>
    </row>
    <row r="24" spans="1:22" ht="15.75">
      <c r="A24" s="43"/>
      <c r="B24" s="43">
        <f t="shared" ca="1" si="1"/>
        <v>-5.9452588637588892E-2</v>
      </c>
      <c r="C24" s="43">
        <f t="shared" ca="1" si="1"/>
        <v>0.254840865823732</v>
      </c>
      <c r="E24" s="4">
        <v>12</v>
      </c>
      <c r="F24" s="44">
        <f t="shared" ca="1" si="2"/>
        <v>98.216422340872327</v>
      </c>
      <c r="G24" s="44">
        <f t="shared" ca="1" si="3"/>
        <v>19112.918496445345</v>
      </c>
      <c r="H24" s="71">
        <f t="shared" ca="1" si="0"/>
        <v>18939.812758782882</v>
      </c>
      <c r="I24" s="44">
        <f t="shared" ca="1" si="4"/>
        <v>173.10573766246307</v>
      </c>
      <c r="J24" s="44">
        <f t="shared" ca="1" si="5"/>
        <v>173.10573766246307</v>
      </c>
      <c r="K24" s="46">
        <f t="shared" ca="1" si="6"/>
        <v>9.1397808345380534E-3</v>
      </c>
      <c r="L24" s="46">
        <f t="shared" ca="1" si="7"/>
        <v>9.1397808345380534E-3</v>
      </c>
      <c r="N24" s="45">
        <f t="shared" ca="1" si="8"/>
        <v>0.13489999999999999</v>
      </c>
      <c r="O24" s="45">
        <f t="shared" ca="1" si="9"/>
        <v>-0.13489999999999999</v>
      </c>
      <c r="P24" s="45">
        <f t="shared" ca="1" si="10"/>
        <v>0.26979999999999998</v>
      </c>
      <c r="Q24" s="45">
        <f t="shared" ca="1" si="11"/>
        <v>-0.26979999999999998</v>
      </c>
      <c r="R24" s="45"/>
      <c r="S24" s="45"/>
      <c r="T24" s="45"/>
      <c r="U24" s="45"/>
      <c r="V24" s="45"/>
    </row>
    <row r="25" spans="1:22" ht="15.75">
      <c r="A25" s="43"/>
      <c r="B25" s="43">
        <f t="shared" ca="1" si="1"/>
        <v>1.52988978321841E-2</v>
      </c>
      <c r="C25" s="43">
        <f t="shared" ca="1" si="1"/>
        <v>-0.18882165646196311</v>
      </c>
      <c r="E25" s="4">
        <v>13</v>
      </c>
      <c r="F25" s="44">
        <f t="shared" ca="1" si="2"/>
        <v>100.45896693496552</v>
      </c>
      <c r="G25" s="44">
        <f t="shared" ca="1" si="3"/>
        <v>17972.54722008618</v>
      </c>
      <c r="H25" s="71">
        <f t="shared" ca="1" si="0"/>
        <v>19133.878174056052</v>
      </c>
      <c r="I25" s="44">
        <f t="shared" ca="1" si="4"/>
        <v>-1161.3309539698712</v>
      </c>
      <c r="J25" s="44">
        <f t="shared" ca="1" si="5"/>
        <v>1161.3309539698712</v>
      </c>
      <c r="K25" s="46">
        <f t="shared" ca="1" si="6"/>
        <v>-6.0695011403623308E-2</v>
      </c>
      <c r="L25" s="46">
        <f t="shared" ca="1" si="7"/>
        <v>6.0695011403623308E-2</v>
      </c>
      <c r="N25" s="45">
        <f t="shared" ca="1" si="8"/>
        <v>0.13489999999999999</v>
      </c>
      <c r="O25" s="45">
        <f t="shared" ca="1" si="9"/>
        <v>-0.13489999999999999</v>
      </c>
      <c r="P25" s="45">
        <f t="shared" ca="1" si="10"/>
        <v>0.26979999999999998</v>
      </c>
      <c r="Q25" s="45">
        <f t="shared" ca="1" si="11"/>
        <v>-0.26979999999999998</v>
      </c>
      <c r="R25" s="45"/>
      <c r="S25" s="45"/>
      <c r="T25" s="45"/>
      <c r="U25" s="45"/>
      <c r="V25" s="45"/>
    </row>
    <row r="26" spans="1:22" ht="15.75">
      <c r="A26" s="43"/>
      <c r="B26" s="43">
        <f t="shared" ca="1" si="1"/>
        <v>0.41998916247014639</v>
      </c>
      <c r="C26" s="43">
        <f t="shared" ca="1" si="1"/>
        <v>1.1383475877834892</v>
      </c>
      <c r="E26" s="4">
        <v>14</v>
      </c>
      <c r="F26" s="44">
        <f t="shared" ca="1" si="2"/>
        <v>112.59967487410439</v>
      </c>
      <c r="G26" s="44">
        <f t="shared" ca="1" si="3"/>
        <v>22986.015127649342</v>
      </c>
      <c r="H26" s="71">
        <f t="shared" ca="1" si="0"/>
        <v>20184.511251375967</v>
      </c>
      <c r="I26" s="44">
        <f t="shared" ca="1" si="4"/>
        <v>2801.5038762733748</v>
      </c>
      <c r="J26" s="44">
        <f t="shared" ca="1" si="5"/>
        <v>2801.5038762733748</v>
      </c>
      <c r="K26" s="45">
        <f t="shared" ca="1" si="6"/>
        <v>0.13879473430808972</v>
      </c>
      <c r="L26" s="45">
        <f t="shared" ca="1" si="7"/>
        <v>0.13879473430808972</v>
      </c>
      <c r="N26" s="45">
        <f t="shared" ca="1" si="8"/>
        <v>0.13489999999999999</v>
      </c>
      <c r="O26" s="45">
        <f t="shared" ca="1" si="9"/>
        <v>-0.13489999999999999</v>
      </c>
      <c r="P26" s="45">
        <f t="shared" ca="1" si="10"/>
        <v>0.26979999999999998</v>
      </c>
      <c r="Q26" s="45">
        <f t="shared" ca="1" si="11"/>
        <v>-0.26979999999999998</v>
      </c>
      <c r="R26" s="45"/>
      <c r="S26" s="45"/>
      <c r="T26" s="45"/>
      <c r="U26" s="45"/>
      <c r="V26" s="45"/>
    </row>
    <row r="27" spans="1:22" ht="15.75">
      <c r="A27" s="43"/>
      <c r="B27" s="43">
        <f t="shared" ca="1" si="1"/>
        <v>-0.2969637719290561</v>
      </c>
      <c r="C27" s="43">
        <f t="shared" ca="1" si="1"/>
        <v>0.61169755128580061</v>
      </c>
      <c r="E27" s="4">
        <v>15</v>
      </c>
      <c r="F27" s="44">
        <f t="shared" ca="1" si="2"/>
        <v>91.09108684212832</v>
      </c>
      <c r="G27" s="44">
        <f t="shared" ca="1" si="3"/>
        <v>19577.835035438311</v>
      </c>
      <c r="H27" s="71">
        <f t="shared" ca="1" si="0"/>
        <v>18323.200185652058</v>
      </c>
      <c r="I27" s="44">
        <f t="shared" ca="1" si="4"/>
        <v>1254.6348497862527</v>
      </c>
      <c r="J27" s="44">
        <f t="shared" ca="1" si="5"/>
        <v>1254.6348497862527</v>
      </c>
      <c r="K27" s="45">
        <f t="shared" ca="1" si="6"/>
        <v>6.8472474080629855E-2</v>
      </c>
      <c r="L27" s="45">
        <f t="shared" ca="1" si="7"/>
        <v>6.8472474080629855E-2</v>
      </c>
      <c r="N27" s="45">
        <f t="shared" ca="1" si="8"/>
        <v>0.13489999999999999</v>
      </c>
      <c r="O27" s="45">
        <f t="shared" ca="1" si="9"/>
        <v>-0.13489999999999999</v>
      </c>
      <c r="P27" s="45">
        <f t="shared" ca="1" si="10"/>
        <v>0.26979999999999998</v>
      </c>
      <c r="Q27" s="45">
        <f t="shared" ca="1" si="11"/>
        <v>-0.26979999999999998</v>
      </c>
      <c r="R27" s="45"/>
      <c r="S27" s="45"/>
      <c r="T27" s="45"/>
      <c r="U27" s="45"/>
      <c r="V27" s="45"/>
    </row>
    <row r="28" spans="1:22" ht="15.75">
      <c r="A28" s="43"/>
      <c r="B28" s="43">
        <f t="shared" ca="1" si="1"/>
        <v>9.1823050239849425E-3</v>
      </c>
      <c r="C28" s="43">
        <f t="shared" ca="1" si="1"/>
        <v>-0.46300675548919656</v>
      </c>
      <c r="E28" s="4">
        <v>16</v>
      </c>
      <c r="F28" s="44">
        <f t="shared" ca="1" si="2"/>
        <v>100.27546915071954</v>
      </c>
      <c r="G28" s="44">
        <f t="shared" ca="1" si="3"/>
        <v>17134.394611343574</v>
      </c>
      <c r="H28" s="71">
        <f t="shared" ca="1" si="0"/>
        <v>19117.998635341326</v>
      </c>
      <c r="I28" s="44">
        <f t="shared" ca="1" si="4"/>
        <v>-1983.6040239977519</v>
      </c>
      <c r="J28" s="44">
        <f t="shared" ca="1" si="5"/>
        <v>1983.6040239977519</v>
      </c>
      <c r="K28" s="45">
        <f t="shared" ca="1" si="6"/>
        <v>-0.10375584086144263</v>
      </c>
      <c r="L28" s="45">
        <f t="shared" ca="1" si="7"/>
        <v>0.10375584086144263</v>
      </c>
      <c r="N28" s="45">
        <f t="shared" ca="1" si="8"/>
        <v>0.13489999999999999</v>
      </c>
      <c r="O28" s="45">
        <f t="shared" ca="1" si="9"/>
        <v>-0.13489999999999999</v>
      </c>
      <c r="P28" s="45">
        <f t="shared" ca="1" si="10"/>
        <v>0.26979999999999998</v>
      </c>
      <c r="Q28" s="45">
        <f t="shared" ca="1" si="11"/>
        <v>-0.26979999999999998</v>
      </c>
      <c r="R28" s="45"/>
      <c r="S28" s="45"/>
      <c r="T28" s="45"/>
      <c r="U28" s="45"/>
      <c r="V28" s="45"/>
    </row>
    <row r="29" spans="1:22" ht="15.75">
      <c r="A29" s="43"/>
      <c r="B29" s="43">
        <f t="shared" ca="1" si="1"/>
        <v>1.1074269973081436</v>
      </c>
      <c r="C29" s="43">
        <f t="shared" ca="1" si="1"/>
        <v>0.65429914461987204</v>
      </c>
      <c r="E29" s="4">
        <v>17</v>
      </c>
      <c r="F29" s="44">
        <f t="shared" ca="1" si="2"/>
        <v>133.2228099192443</v>
      </c>
      <c r="G29" s="44">
        <f t="shared" ca="1" si="3"/>
        <v>23286.836276995382</v>
      </c>
      <c r="H29" s="71">
        <f t="shared" ca="1" si="0"/>
        <v>21969.196950519501</v>
      </c>
      <c r="I29" s="44">
        <f t="shared" ca="1" si="4"/>
        <v>1317.6393264758808</v>
      </c>
      <c r="J29" s="44">
        <f t="shared" ca="1" si="5"/>
        <v>1317.6393264758808</v>
      </c>
      <c r="K29" s="45">
        <f t="shared" ca="1" si="6"/>
        <v>5.9976672312763935E-2</v>
      </c>
      <c r="L29" s="45">
        <f t="shared" ca="1" si="7"/>
        <v>5.9976672312763935E-2</v>
      </c>
      <c r="N29" s="45">
        <f t="shared" ca="1" si="8"/>
        <v>0.13489999999999999</v>
      </c>
      <c r="O29" s="45">
        <f t="shared" ca="1" si="9"/>
        <v>-0.13489999999999999</v>
      </c>
      <c r="P29" s="45">
        <f t="shared" ca="1" si="10"/>
        <v>0.26979999999999998</v>
      </c>
      <c r="Q29" s="45">
        <f t="shared" ca="1" si="11"/>
        <v>-0.26979999999999998</v>
      </c>
      <c r="R29" s="45"/>
      <c r="S29" s="45"/>
      <c r="T29" s="45"/>
      <c r="U29" s="45"/>
      <c r="V29" s="45"/>
    </row>
    <row r="30" spans="1:22" ht="15.75">
      <c r="A30" s="43"/>
      <c r="B30" s="43">
        <f t="shared" ca="1" si="1"/>
        <v>-1.1638472214356164</v>
      </c>
      <c r="C30" s="43">
        <f t="shared" ca="1" si="1"/>
        <v>-9.7162237871617735E-2</v>
      </c>
      <c r="E30" s="4">
        <v>18</v>
      </c>
      <c r="F30" s="44">
        <f t="shared" ca="1" si="2"/>
        <v>65.084583356931518</v>
      </c>
      <c r="G30" s="44">
        <f t="shared" ca="1" si="3"/>
        <v>15240.702871724327</v>
      </c>
      <c r="H30" s="71">
        <f t="shared" ca="1" si="0"/>
        <v>16072.648329536703</v>
      </c>
      <c r="I30" s="44">
        <f t="shared" ca="1" si="4"/>
        <v>-831.94545781237684</v>
      </c>
      <c r="J30" s="44">
        <f t="shared" ca="1" si="5"/>
        <v>831.94545781237684</v>
      </c>
      <c r="K30" s="45">
        <f t="shared" ca="1" si="6"/>
        <v>-5.1761566653798476E-2</v>
      </c>
      <c r="L30" s="45">
        <f t="shared" ca="1" si="7"/>
        <v>5.1761566653798476E-2</v>
      </c>
      <c r="N30" s="45">
        <f t="shared" ca="1" si="8"/>
        <v>0.13489999999999999</v>
      </c>
      <c r="O30" s="45">
        <f t="shared" ca="1" si="9"/>
        <v>-0.13489999999999999</v>
      </c>
      <c r="P30" s="45">
        <f t="shared" ca="1" si="10"/>
        <v>0.26979999999999998</v>
      </c>
      <c r="Q30" s="45">
        <f t="shared" ca="1" si="11"/>
        <v>-0.26979999999999998</v>
      </c>
      <c r="R30" s="45"/>
      <c r="S30" s="45"/>
      <c r="T30" s="45"/>
      <c r="U30" s="45"/>
      <c r="V30" s="45"/>
    </row>
    <row r="31" spans="1:22" ht="15.75">
      <c r="A31" s="43"/>
      <c r="B31" s="43">
        <f t="shared" ca="1" si="1"/>
        <v>-1.0683252432026979</v>
      </c>
      <c r="C31" s="43">
        <f t="shared" ca="1" si="1"/>
        <v>-1.6119948978082725</v>
      </c>
      <c r="E31" s="4">
        <v>19</v>
      </c>
      <c r="F31" s="44">
        <f t="shared" ca="1" si="2"/>
        <v>67.950242703919059</v>
      </c>
      <c r="G31" s="44">
        <f t="shared" ca="1" si="3"/>
        <v>10939.785936408303</v>
      </c>
      <c r="H31" s="71">
        <f t="shared" ca="1" si="0"/>
        <v>16320.636874633823</v>
      </c>
      <c r="I31" s="44">
        <f t="shared" ca="1" si="4"/>
        <v>-5380.8509382255197</v>
      </c>
      <c r="J31" s="44">
        <f t="shared" ca="1" si="5"/>
        <v>5380.8509382255197</v>
      </c>
      <c r="K31" s="45">
        <f t="shared" ca="1" si="6"/>
        <v>-0.32969613744599946</v>
      </c>
      <c r="L31" s="45">
        <f t="shared" ca="1" si="7"/>
        <v>0.32969613744599946</v>
      </c>
      <c r="N31" s="45">
        <f t="shared" ca="1" si="8"/>
        <v>0.13489999999999999</v>
      </c>
      <c r="O31" s="45">
        <f t="shared" ca="1" si="9"/>
        <v>-0.13489999999999999</v>
      </c>
      <c r="P31" s="45">
        <f t="shared" ca="1" si="10"/>
        <v>0.26979999999999998</v>
      </c>
      <c r="Q31" s="45">
        <f t="shared" ca="1" si="11"/>
        <v>-0.26979999999999998</v>
      </c>
      <c r="R31" s="45"/>
      <c r="S31" s="45"/>
      <c r="T31" s="45"/>
      <c r="U31" s="45"/>
      <c r="V31" s="45"/>
    </row>
    <row r="32" spans="1:22" ht="15.75">
      <c r="A32" s="43"/>
      <c r="B32" s="43">
        <f t="shared" ca="1" si="1"/>
        <v>0.11535972821027053</v>
      </c>
      <c r="C32" s="43">
        <f t="shared" ca="1" si="1"/>
        <v>-0.7616870748977661</v>
      </c>
      <c r="E32" s="4">
        <v>20</v>
      </c>
      <c r="F32" s="44">
        <f t="shared" ca="1" si="2"/>
        <v>103.46079184630811</v>
      </c>
      <c r="G32" s="44">
        <f t="shared" ca="1" si="3"/>
        <v>16509.106082242892</v>
      </c>
      <c r="H32" s="71">
        <f t="shared" ca="1" si="0"/>
        <v>19393.650220298288</v>
      </c>
      <c r="I32" s="44">
        <f t="shared" ca="1" si="4"/>
        <v>-2884.5441380553966</v>
      </c>
      <c r="J32" s="44">
        <f t="shared" ca="1" si="5"/>
        <v>2884.5441380553966</v>
      </c>
      <c r="K32" s="45">
        <f t="shared" ca="1" si="6"/>
        <v>-0.14873652485679564</v>
      </c>
      <c r="L32" s="45">
        <f t="shared" ca="1" si="7"/>
        <v>0.14873652485679564</v>
      </c>
      <c r="N32" s="45">
        <f t="shared" ca="1" si="8"/>
        <v>0.13489999999999999</v>
      </c>
      <c r="O32" s="45">
        <f t="shared" ca="1" si="9"/>
        <v>-0.13489999999999999</v>
      </c>
      <c r="P32" s="45">
        <f t="shared" ca="1" si="10"/>
        <v>0.26979999999999998</v>
      </c>
      <c r="Q32" s="45">
        <f t="shared" ca="1" si="11"/>
        <v>-0.26979999999999998</v>
      </c>
      <c r="R32" s="45"/>
      <c r="S32" s="45"/>
      <c r="T32" s="45"/>
      <c r="U32" s="45"/>
      <c r="V32" s="45"/>
    </row>
    <row r="33" spans="1:22" ht="15.75">
      <c r="A33" s="43"/>
      <c r="B33" s="43">
        <f t="shared" ca="1" si="1"/>
        <v>-0.17652823525756109</v>
      </c>
      <c r="C33" s="43">
        <f t="shared" ca="1" si="1"/>
        <v>0.19980375833581418</v>
      </c>
      <c r="E33" s="4">
        <v>21</v>
      </c>
      <c r="F33" s="44">
        <f t="shared" ca="1" si="2"/>
        <v>94.704152942273168</v>
      </c>
      <c r="G33" s="44">
        <f t="shared" ca="1" si="3"/>
        <v>18649.264275100661</v>
      </c>
      <c r="H33" s="71">
        <f t="shared" ca="1" si="0"/>
        <v>18635.867846746019</v>
      </c>
      <c r="I33" s="44">
        <f t="shared" ca="1" si="4"/>
        <v>13.396428354641102</v>
      </c>
      <c r="J33" s="44">
        <f t="shared" ca="1" si="5"/>
        <v>13.396428354641102</v>
      </c>
      <c r="K33" s="45">
        <f t="shared" ca="1" si="6"/>
        <v>7.1885186484514771E-4</v>
      </c>
      <c r="L33" s="45">
        <f t="shared" ca="1" si="7"/>
        <v>7.1885186484514771E-4</v>
      </c>
      <c r="N33" s="45">
        <f t="shared" ca="1" si="8"/>
        <v>0.13489999999999999</v>
      </c>
      <c r="O33" s="45">
        <f t="shared" ca="1" si="9"/>
        <v>-0.13489999999999999</v>
      </c>
      <c r="P33" s="45">
        <f t="shared" ca="1" si="10"/>
        <v>0.26979999999999998</v>
      </c>
      <c r="Q33" s="45">
        <f t="shared" ca="1" si="11"/>
        <v>-0.26979999999999998</v>
      </c>
      <c r="R33" s="45"/>
      <c r="S33" s="45"/>
      <c r="T33" s="45"/>
      <c r="U33" s="45"/>
      <c r="V33" s="45"/>
    </row>
    <row r="34" spans="1:22" ht="15.75">
      <c r="A34" s="43"/>
      <c r="B34" s="43">
        <f t="shared" ca="1" si="1"/>
        <v>-0.47292556427157112</v>
      </c>
      <c r="C34" s="43">
        <f t="shared" ca="1" si="1"/>
        <v>1.9004377407162054</v>
      </c>
      <c r="E34" s="4">
        <v>22</v>
      </c>
      <c r="F34" s="44">
        <f t="shared" ca="1" si="2"/>
        <v>85.812233071852859</v>
      </c>
      <c r="G34" s="44">
        <f t="shared" ca="1" si="3"/>
        <v>22995.353033256109</v>
      </c>
      <c r="H34" s="71">
        <f t="shared" ca="1" si="0"/>
        <v>17866.378523423708</v>
      </c>
      <c r="I34" s="44">
        <f t="shared" ca="1" si="4"/>
        <v>5128.974509832402</v>
      </c>
      <c r="J34" s="44">
        <f t="shared" ca="1" si="5"/>
        <v>5128.974509832402</v>
      </c>
      <c r="K34" s="45">
        <f t="shared" ca="1" si="6"/>
        <v>0.28707409859855271</v>
      </c>
      <c r="L34" s="45">
        <f t="shared" ca="1" si="7"/>
        <v>0.28707409859855271</v>
      </c>
      <c r="N34" s="45">
        <f t="shared" ca="1" si="8"/>
        <v>0.13489999999999999</v>
      </c>
      <c r="O34" s="45">
        <f t="shared" ca="1" si="9"/>
        <v>-0.13489999999999999</v>
      </c>
      <c r="P34" s="45">
        <f t="shared" ca="1" si="10"/>
        <v>0.26979999999999998</v>
      </c>
      <c r="Q34" s="45">
        <f t="shared" ca="1" si="11"/>
        <v>-0.26979999999999998</v>
      </c>
      <c r="R34" s="45"/>
      <c r="S34" s="45"/>
      <c r="T34" s="45"/>
      <c r="U34" s="45"/>
      <c r="V34" s="45"/>
    </row>
    <row r="35" spans="1:22" ht="15.75">
      <c r="A35" s="43"/>
      <c r="B35" s="43">
        <f t="shared" ca="1" si="1"/>
        <v>-0.96736858497702871</v>
      </c>
      <c r="C35" s="43">
        <f t="shared" ca="1" si="1"/>
        <v>1.1059608887237244</v>
      </c>
      <c r="E35" s="4">
        <v>23</v>
      </c>
      <c r="F35" s="44">
        <f t="shared" ca="1" si="2"/>
        <v>70.978942450689146</v>
      </c>
      <c r="G35" s="44">
        <f t="shared" ca="1" si="3"/>
        <v>19351.092774479748</v>
      </c>
      <c r="H35" s="71">
        <f t="shared" ca="1" si="0"/>
        <v>16582.734616477104</v>
      </c>
      <c r="I35" s="44">
        <f t="shared" ca="1" si="4"/>
        <v>2768.3581580026439</v>
      </c>
      <c r="J35" s="44">
        <f t="shared" ca="1" si="5"/>
        <v>2768.3581580026439</v>
      </c>
      <c r="K35" s="45">
        <f t="shared" ca="1" si="6"/>
        <v>0.16694219753429088</v>
      </c>
      <c r="L35" s="45">
        <f t="shared" ca="1" si="7"/>
        <v>0.16694219753429088</v>
      </c>
      <c r="N35" s="45">
        <f t="shared" ca="1" si="8"/>
        <v>0.13489999999999999</v>
      </c>
      <c r="O35" s="45">
        <f t="shared" ca="1" si="9"/>
        <v>-0.13489999999999999</v>
      </c>
      <c r="P35" s="45">
        <f t="shared" ca="1" si="10"/>
        <v>0.26979999999999998</v>
      </c>
      <c r="Q35" s="45">
        <f t="shared" ca="1" si="11"/>
        <v>-0.26979999999999998</v>
      </c>
      <c r="R35" s="45"/>
      <c r="S35" s="45"/>
      <c r="T35" s="45"/>
      <c r="U35" s="45"/>
      <c r="V35" s="45"/>
    </row>
    <row r="36" spans="1:22" ht="15.75">
      <c r="A36" s="43"/>
      <c r="B36" s="43">
        <f t="shared" ca="1" si="1"/>
        <v>-1.2391527773828603</v>
      </c>
      <c r="C36" s="43">
        <f t="shared" ca="1" si="1"/>
        <v>0.22994948114077976</v>
      </c>
      <c r="E36" s="4">
        <v>24</v>
      </c>
      <c r="F36" s="44">
        <f t="shared" ca="1" si="2"/>
        <v>62.825416678514188</v>
      </c>
      <c r="G36" s="44">
        <f t="shared" ca="1" si="3"/>
        <v>16030.008861096045</v>
      </c>
      <c r="H36" s="71">
        <f t="shared" ca="1" si="0"/>
        <v>15877.144471654379</v>
      </c>
      <c r="I36" s="44">
        <f t="shared" ca="1" si="4"/>
        <v>152.86438944166548</v>
      </c>
      <c r="J36" s="44">
        <f t="shared" ca="1" si="5"/>
        <v>152.86438944166548</v>
      </c>
      <c r="K36" s="45">
        <f t="shared" ca="1" si="6"/>
        <v>9.6279522879303501E-3</v>
      </c>
      <c r="L36" s="45">
        <f t="shared" ca="1" si="7"/>
        <v>9.6279522879303501E-3</v>
      </c>
      <c r="N36" s="45">
        <f t="shared" ca="1" si="8"/>
        <v>0.13489999999999999</v>
      </c>
      <c r="O36" s="45">
        <f t="shared" ca="1" si="9"/>
        <v>-0.13489999999999999</v>
      </c>
      <c r="P36" s="45">
        <f t="shared" ca="1" si="10"/>
        <v>0.26979999999999998</v>
      </c>
      <c r="Q36" s="45">
        <f t="shared" ca="1" si="11"/>
        <v>-0.26979999999999998</v>
      </c>
      <c r="R36" s="45"/>
      <c r="S36" s="45"/>
      <c r="T36" s="45"/>
      <c r="U36" s="45"/>
      <c r="V36" s="45"/>
    </row>
    <row r="37" spans="1:22" ht="17.25" thickBot="1">
      <c r="F37" s="47">
        <f ca="1">AVERAGE(F13:F36)</f>
        <v>85.524763648673272</v>
      </c>
      <c r="G37" s="47">
        <f ca="1">AVERAGE(G13:G36)</f>
        <v>17841.501482791104</v>
      </c>
      <c r="H37" s="72">
        <f ca="1">AVERAGE(H13:H36)</f>
        <v>17841.5014827911</v>
      </c>
      <c r="I37" s="47">
        <f ca="1">SUM(I13:I36)</f>
        <v>3.4560798667371273E-11</v>
      </c>
      <c r="J37" s="47">
        <f ca="1">AVERAGE(J13:J36)</f>
        <v>2407.5766348095108</v>
      </c>
      <c r="K37" s="27"/>
      <c r="L37" s="27"/>
    </row>
    <row r="38" spans="1:22" ht="15.75" thickTop="1">
      <c r="F38" s="27" t="s">
        <v>21</v>
      </c>
      <c r="G38" s="27" t="s">
        <v>21</v>
      </c>
      <c r="H38" s="27" t="s">
        <v>21</v>
      </c>
      <c r="I38" s="27" t="s">
        <v>46</v>
      </c>
      <c r="J38" s="27" t="s">
        <v>21</v>
      </c>
      <c r="K38" s="27"/>
      <c r="L38" s="27"/>
    </row>
    <row r="39" spans="1:22">
      <c r="H39" s="3">
        <f ca="1">H37 - G37</f>
        <v>0</v>
      </c>
      <c r="I39" s="3">
        <f ca="1">I37</f>
        <v>3.4560798667371273E-11</v>
      </c>
      <c r="L39" s="27"/>
    </row>
    <row r="44" spans="1:22">
      <c r="A44" s="36"/>
    </row>
  </sheetData>
  <conditionalFormatting sqref="H39">
    <cfRule type="expression" dxfId="13" priority="3" stopIfTrue="1">
      <formula>ABS(H39)&gt;=0.0001</formula>
    </cfRule>
    <cfRule type="expression" dxfId="12" priority="4" stopIfTrue="1">
      <formula>ABS(H39)&lt;0.0001</formula>
    </cfRule>
  </conditionalFormatting>
  <conditionalFormatting sqref="I39">
    <cfRule type="expression" dxfId="11" priority="1" stopIfTrue="1">
      <formula>ABS(I39)&gt;=0.0001</formula>
    </cfRule>
    <cfRule type="expression" dxfId="10" priority="2" stopIfTrue="1">
      <formula>ABS(I39)&lt;0.0001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2:H51"/>
  <sheetViews>
    <sheetView zoomScale="75" zoomScaleNormal="75" workbookViewId="0">
      <selection activeCell="H14" sqref="H14"/>
    </sheetView>
  </sheetViews>
  <sheetFormatPr defaultColWidth="9.140625" defaultRowHeight="15"/>
  <cols>
    <col min="2" max="2" width="11.7109375" customWidth="1"/>
    <col min="4" max="9" width="13.7109375" customWidth="1"/>
  </cols>
  <sheetData>
    <row r="2" spans="2:8">
      <c r="B2" t="s">
        <v>186</v>
      </c>
      <c r="C2" s="93">
        <f ca="1">D16</f>
        <v>79.32071194246015</v>
      </c>
    </row>
    <row r="3" spans="2:8">
      <c r="B3" t="s">
        <v>187</v>
      </c>
      <c r="C3" s="93">
        <f ca="1">D11-D16</f>
        <v>19.849532509946741</v>
      </c>
    </row>
    <row r="4" spans="2:8">
      <c r="B4" t="s">
        <v>188</v>
      </c>
      <c r="C4" s="93">
        <f ca="1">D12-D16</f>
        <v>19.922756698855522</v>
      </c>
    </row>
    <row r="5" spans="2:8">
      <c r="B5" t="s">
        <v>189</v>
      </c>
      <c r="C5" s="93">
        <f ca="1">D13-D16</f>
        <v>-28.396637985603903</v>
      </c>
    </row>
    <row r="6" spans="2:8">
      <c r="B6" t="s">
        <v>190</v>
      </c>
      <c r="C6" s="93">
        <f ca="1">D14-D16</f>
        <v>-11.375651223198375</v>
      </c>
    </row>
    <row r="9" spans="2:8" ht="60">
      <c r="B9" s="53"/>
      <c r="C9" s="53"/>
      <c r="D9" s="53" t="s">
        <v>178</v>
      </c>
      <c r="E9" s="53" t="s">
        <v>179</v>
      </c>
      <c r="F9" s="53" t="s">
        <v>175</v>
      </c>
      <c r="G9" s="53" t="s">
        <v>174</v>
      </c>
      <c r="H9" s="53" t="s">
        <v>176</v>
      </c>
    </row>
    <row r="10" spans="2:8">
      <c r="B10" s="53" t="s">
        <v>159</v>
      </c>
      <c r="C10" s="53" t="s">
        <v>112</v>
      </c>
      <c r="D10" s="53" t="s">
        <v>169</v>
      </c>
      <c r="E10" s="53" t="s">
        <v>170</v>
      </c>
      <c r="F10" s="53" t="s">
        <v>171</v>
      </c>
      <c r="G10" s="53" t="s">
        <v>172</v>
      </c>
      <c r="H10" s="53" t="s">
        <v>173</v>
      </c>
    </row>
    <row r="11" spans="2:8">
      <c r="B11" s="92">
        <v>1</v>
      </c>
      <c r="C11">
        <f>COUNTIF($C$26:$C$51,B11)</f>
        <v>7</v>
      </c>
      <c r="D11" s="93">
        <f ca="1">AVERAGEIF($C$26:$C$51,B11,$D$26:$D$51)</f>
        <v>99.170244452406891</v>
      </c>
      <c r="E11" s="93">
        <f ca="1">(D11-D$15)^2</f>
        <v>360.03098294957363</v>
      </c>
      <c r="F11" s="93">
        <f ca="1">E11*C11</f>
        <v>2520.2168806470154</v>
      </c>
      <c r="G11" s="93">
        <f t="array" aca="1" ref="G11" ca="1">SUMSQ(($C$26:$C$51=B11)*($D$26:$D$51))-C11*D11^2</f>
        <v>170.57908601987583</v>
      </c>
      <c r="H11" s="93">
        <f ca="1">SUM(F11:G11)</f>
        <v>2690.7959666668912</v>
      </c>
    </row>
    <row r="12" spans="2:8">
      <c r="B12" s="92">
        <v>2</v>
      </c>
      <c r="C12">
        <f>COUNTIF($C$26:$C$51,B12)</f>
        <v>7</v>
      </c>
      <c r="D12" s="93">
        <f ca="1">AVERAGEIF($C$26:$C$51,B12,$D$26:$D$51)</f>
        <v>99.243468641315673</v>
      </c>
      <c r="E12" s="93">
        <f ca="1">(D12-D$15)^2</f>
        <v>362.81512690114477</v>
      </c>
      <c r="F12" s="93">
        <f ca="1">E12*C12</f>
        <v>2539.7058883080135</v>
      </c>
      <c r="G12" s="93">
        <f t="array" aca="1" ref="G12" ca="1">SUMSQ(($C$26:$C$51=B12)*($D$26:$D$51))-C12*D12^2</f>
        <v>1999.3716965396743</v>
      </c>
      <c r="H12" s="93">
        <f t="shared" ref="H12:H14" ca="1" si="0">SUM(F12:G12)</f>
        <v>4539.0775848476878</v>
      </c>
    </row>
    <row r="13" spans="2:8">
      <c r="B13" s="92">
        <v>3</v>
      </c>
      <c r="C13">
        <f>COUNTIF($C$26:$C$51,B13)</f>
        <v>7</v>
      </c>
      <c r="D13" s="93">
        <f ca="1">AVERAGEIF($C$26:$C$51,B13,$D$26:$D$51)</f>
        <v>50.924073956856247</v>
      </c>
      <c r="E13" s="93">
        <f ca="1">(D13-D$15)^2</f>
        <v>856.83172303502226</v>
      </c>
      <c r="F13" s="93">
        <f ca="1">E13*C13</f>
        <v>5997.822061245156</v>
      </c>
      <c r="G13" s="93">
        <f t="array" aca="1" ref="G13" ca="1">SUMSQ(($C$26:$C$51=B13)*($D$26:$D$51))-C13*D13^2</f>
        <v>180.15026210325959</v>
      </c>
      <c r="H13" s="93">
        <f t="shared" ca="1" si="0"/>
        <v>6177.9723233484156</v>
      </c>
    </row>
    <row r="14" spans="2:8">
      <c r="B14" s="92">
        <v>4</v>
      </c>
      <c r="C14">
        <f>COUNTIF($C$26:$C$51,B14)</f>
        <v>5</v>
      </c>
      <c r="D14" s="93">
        <f ca="1">AVERAGEIF($C$26:$C$51,B14,$D$26:$D$51)</f>
        <v>67.945060719261775</v>
      </c>
      <c r="E14" s="93">
        <f ca="1">(D14-D$15)^2</f>
        <v>150.07968276546472</v>
      </c>
      <c r="F14" s="93">
        <f ca="1">E14*C14</f>
        <v>750.39841382732357</v>
      </c>
      <c r="G14" s="93">
        <f t="array" aca="1" ref="G14" ca="1">SUMSQ(($C$26:$C$51=B14)*($D$26:$D$51))-C14*D14^2</f>
        <v>1075.7652301839735</v>
      </c>
      <c r="H14" s="93">
        <f t="shared" ca="1" si="0"/>
        <v>1826.163644011297</v>
      </c>
    </row>
    <row r="15" spans="2:8" ht="15.75" thickBot="1">
      <c r="B15" s="92" t="s">
        <v>157</v>
      </c>
      <c r="C15" s="82">
        <f>SUM(C11:C14)</f>
        <v>26</v>
      </c>
      <c r="D15" s="107">
        <f ca="1">SUMPRODUCT(C11:C14,D11:D14)/C15</f>
        <v>80.195762036552338</v>
      </c>
      <c r="E15" s="107">
        <f ca="1">SUM(E11:E14)</f>
        <v>1729.7575156512055</v>
      </c>
      <c r="F15" s="107">
        <f ca="1">SUM(F11:F14)</f>
        <v>11808.143244027509</v>
      </c>
      <c r="G15" s="107">
        <f ca="1">SUM(G11:G14)</f>
        <v>3425.8662748467832</v>
      </c>
      <c r="H15" s="107">
        <f ca="1">SUM(H11:H14)</f>
        <v>15234.009518874293</v>
      </c>
    </row>
    <row r="16" spans="2:8" ht="15.75" thickTop="1">
      <c r="B16" s="92"/>
      <c r="C16" s="54" t="s">
        <v>162</v>
      </c>
      <c r="D16" s="93">
        <f ca="1">AVERAGE(D11:D14)</f>
        <v>79.32071194246015</v>
      </c>
      <c r="E16" s="93"/>
      <c r="F16" s="93"/>
      <c r="G16" s="93"/>
    </row>
    <row r="17" spans="1:8">
      <c r="B17" s="92"/>
      <c r="C17" s="54" t="s">
        <v>181</v>
      </c>
      <c r="D17" s="93">
        <f ca="1">D15-D16</f>
        <v>0.87505009409218815</v>
      </c>
      <c r="E17" s="93"/>
      <c r="F17" s="93"/>
      <c r="G17" s="93"/>
      <c r="H17" s="93"/>
    </row>
    <row r="19" spans="1:8">
      <c r="B19" s="54" t="s">
        <v>180</v>
      </c>
      <c r="C19" s="93">
        <f ca="1">AVERAGE($D$26:$D$51)</f>
        <v>80.195762036552338</v>
      </c>
    </row>
    <row r="20" spans="1:8" ht="15.75">
      <c r="B20" s="54" t="s">
        <v>163</v>
      </c>
      <c r="C20" s="3">
        <f ca="1">C19 - D15</f>
        <v>0</v>
      </c>
    </row>
    <row r="21" spans="1:8" ht="15.75">
      <c r="B21" s="54" t="s">
        <v>177</v>
      </c>
      <c r="C21" s="3">
        <f ca="1">DEVSQ($D$26:$D$51) - H15</f>
        <v>0</v>
      </c>
    </row>
    <row r="25" spans="1:8">
      <c r="A25" s="53" t="s">
        <v>164</v>
      </c>
      <c r="B25" s="53" t="s">
        <v>161</v>
      </c>
      <c r="C25" s="53" t="s">
        <v>159</v>
      </c>
      <c r="D25" s="53" t="s">
        <v>183</v>
      </c>
      <c r="E25" s="53" t="s">
        <v>165</v>
      </c>
      <c r="F25" s="53" t="s">
        <v>166</v>
      </c>
      <c r="G25" s="53" t="s">
        <v>167</v>
      </c>
      <c r="H25" s="53" t="s">
        <v>168</v>
      </c>
    </row>
    <row r="26" spans="1:8" ht="15.75">
      <c r="A26" s="92">
        <v>1</v>
      </c>
      <c r="B26" s="27" t="str">
        <f>VLOOKUP(A26,{1,"A";2,"B";3,"C";4,"D";5,"E";6,"F";7,"G";8,"H";9,"I";10,"J";11,"K";12,"L";13,"M";14,"N";15,"O";16,"P";17,"Q";18,"R";19,"S";20,"T";21,"U";22,"V";23,"W";24,"X";25,"Y";26,"Z"},2,FALSE())</f>
        <v>A</v>
      </c>
      <c r="C26" s="92">
        <f>INDEX(rng_ClustersDetails_Cluster,MATCH($B26,rng_ClustersDetails_Product,0))</f>
        <v>1</v>
      </c>
      <c r="D26" s="93">
        <f ca="1">INDEX(rng_ClustersDetails_Total,MATCH($B26,rng_ClustersDetails_Product,0))</f>
        <v>106.27035076318263</v>
      </c>
      <c r="E26" s="93">
        <f t="shared" ref="E26:E51" ca="1" si="1">D26-VLOOKUP(C26,$B$10:$H$15,3,FALSE())</f>
        <v>7.1001063107757432</v>
      </c>
      <c r="F26" s="93">
        <f ca="1">E26 ^ 2</f>
        <v>50.411509624317532</v>
      </c>
      <c r="G26" s="93">
        <f t="shared" ref="G26:G51" ca="1" si="2">D26 - $D$15</f>
        <v>26.074588726630296</v>
      </c>
      <c r="H26" s="93">
        <f ca="1">G26 ^ 2</f>
        <v>679.88417726291573</v>
      </c>
    </row>
    <row r="27" spans="1:8" ht="15.75">
      <c r="A27" s="92">
        <v>2</v>
      </c>
      <c r="B27" s="27" t="str">
        <f>VLOOKUP(A27,{1,"A";2,"B";3,"C";4,"D";5,"E";6,"F";7,"G";8,"H";9,"I";10,"J";11,"K";12,"L";13,"M";14,"N";15,"O";16,"P";17,"Q";18,"R";19,"S";20,"T";21,"U";22,"V";23,"W";24,"X";25,"Y";26,"Z"},2,FALSE())</f>
        <v>B</v>
      </c>
      <c r="C27" s="92">
        <f>INDEX(rng_ClustersDetails_Cluster,MATCH(B27,rng_ClustersDetails_Product,0))</f>
        <v>1</v>
      </c>
      <c r="D27" s="93">
        <f ca="1">INDEX(rng_ClustersDetails_Total,MATCH($B27,rng_ClustersDetails_Product,0))</f>
        <v>90.650455062344918</v>
      </c>
      <c r="E27" s="93">
        <f t="shared" ca="1" si="1"/>
        <v>-8.5197893900619732</v>
      </c>
      <c r="F27" s="93">
        <f t="shared" ref="F27:F32" ca="1" si="3">E27 ^ 2</f>
        <v>72.586811251012563</v>
      </c>
      <c r="G27" s="93">
        <f t="shared" ca="1" si="2"/>
        <v>10.454693025792579</v>
      </c>
      <c r="H27" s="93">
        <f t="shared" ref="H27:H32" ca="1" si="4">G27 ^ 2</f>
        <v>109.30060626355601</v>
      </c>
    </row>
    <row r="28" spans="1:8" ht="15.75">
      <c r="A28" s="92">
        <v>3</v>
      </c>
      <c r="B28" s="27" t="str">
        <f>VLOOKUP(A28,{1,"A";2,"B";3,"C";4,"D";5,"E";6,"F";7,"G";8,"H";9,"I";10,"J";11,"K";12,"L";13,"M";14,"N";15,"O";16,"P";17,"Q";18,"R";19,"S";20,"T";21,"U";22,"V";23,"W";24,"X";25,"Y";26,"Z"},2,FALSE())</f>
        <v>C</v>
      </c>
      <c r="C28" s="92">
        <f>INDEX(rng_ClustersDetails_Cluster,MATCH(B28,rng_ClustersDetails_Product,0))</f>
        <v>1</v>
      </c>
      <c r="D28" s="93">
        <f ca="1">INDEX(rng_ClustersDetails_Total,MATCH($B28,rng_ClustersDetails_Product,0))</f>
        <v>101.34089967184045</v>
      </c>
      <c r="E28" s="93">
        <f t="shared" ca="1" si="1"/>
        <v>2.1706552194335558</v>
      </c>
      <c r="F28" s="93">
        <f t="shared" ca="1" si="3"/>
        <v>4.711744081654138</v>
      </c>
      <c r="G28" s="93">
        <f t="shared" ca="1" si="2"/>
        <v>21.145137635288108</v>
      </c>
      <c r="H28" s="93">
        <f t="shared" ca="1" si="4"/>
        <v>447.11684561527755</v>
      </c>
    </row>
    <row r="29" spans="1:8" ht="15.75">
      <c r="A29" s="92">
        <v>4</v>
      </c>
      <c r="B29" s="27" t="str">
        <f>VLOOKUP(A29,{1,"A";2,"B";3,"C";4,"D";5,"E";6,"F";7,"G";8,"H";9,"I";10,"J";11,"K";12,"L";13,"M";14,"N";15,"O";16,"P";17,"Q";18,"R";19,"S";20,"T";21,"U";22,"V";23,"W";24,"X";25,"Y";26,"Z"},2,FALSE())</f>
        <v>D</v>
      </c>
      <c r="C29" s="92">
        <f>INDEX(rng_ClustersDetails_Cluster,MATCH(B29,rng_ClustersDetails_Product,0))</f>
        <v>1</v>
      </c>
      <c r="D29" s="93">
        <f ca="1">INDEX(rng_ClustersDetails_Total,MATCH($B29,rng_ClustersDetails_Product,0))</f>
        <v>99.763566219727892</v>
      </c>
      <c r="E29" s="93">
        <f t="shared" ca="1" si="1"/>
        <v>0.59332176732100095</v>
      </c>
      <c r="F29" s="93">
        <f t="shared" ca="1" si="3"/>
        <v>0.35203071957691601</v>
      </c>
      <c r="G29" s="93">
        <f t="shared" ca="1" si="2"/>
        <v>19.567804183175554</v>
      </c>
      <c r="H29" s="93">
        <f t="shared" ca="1" si="4"/>
        <v>382.89896055110268</v>
      </c>
    </row>
    <row r="30" spans="1:8" ht="15.75">
      <c r="A30" s="92">
        <v>5</v>
      </c>
      <c r="B30" s="27" t="str">
        <f>VLOOKUP(A30,{1,"A";2,"B";3,"C";4,"D";5,"E";6,"F";7,"G";8,"H";9,"I";10,"J";11,"K";12,"L";13,"M";14,"N";15,"O";16,"P";17,"Q";18,"R";19,"S";20,"T";21,"U";22,"V";23,"W";24,"X";25,"Y";26,"Z"},2,FALSE())</f>
        <v>E</v>
      </c>
      <c r="C30" s="92">
        <f>INDEX(rng_ClustersDetails_Cluster,MATCH(B30,rng_ClustersDetails_Product,0))</f>
        <v>1</v>
      </c>
      <c r="D30" s="93">
        <f ca="1">INDEX(rng_ClustersDetails_Total,MATCH($B30,rng_ClustersDetails_Product,0))</f>
        <v>103.85371418642978</v>
      </c>
      <c r="E30" s="93">
        <f t="shared" ca="1" si="1"/>
        <v>4.6834697340228928</v>
      </c>
      <c r="F30" s="93">
        <f t="shared" ca="1" si="3"/>
        <v>21.934888749508467</v>
      </c>
      <c r="G30" s="93">
        <f t="shared" ca="1" si="2"/>
        <v>23.657952149877445</v>
      </c>
      <c r="H30" s="93">
        <f t="shared" ca="1" si="4"/>
        <v>559.69869992589088</v>
      </c>
    </row>
    <row r="31" spans="1:8" ht="15.75">
      <c r="A31" s="92">
        <v>6</v>
      </c>
      <c r="B31" s="27" t="str">
        <f>VLOOKUP(A31,{1,"A";2,"B";3,"C";4,"D";5,"E";6,"F";7,"G";8,"H";9,"I";10,"J";11,"K";12,"L";13,"M";14,"N";15,"O";16,"P";17,"Q";18,"R";19,"S";20,"T";21,"U";22,"V";23,"W";24,"X";25,"Y";26,"Z"},2,FALSE())</f>
        <v>F</v>
      </c>
      <c r="C31" s="92">
        <f>INDEX(rng_ClustersDetails_Cluster,MATCH(B31,rng_ClustersDetails_Product,0))</f>
        <v>1</v>
      </c>
      <c r="D31" s="93">
        <f ca="1">INDEX(rng_ClustersDetails_Total,MATCH($B31,rng_ClustersDetails_Product,0))</f>
        <v>95.057469021029618</v>
      </c>
      <c r="E31" s="93">
        <f t="shared" ca="1" si="1"/>
        <v>-4.1127754313772726</v>
      </c>
      <c r="F31" s="93">
        <f t="shared" ca="1" si="3"/>
        <v>16.914921748940511</v>
      </c>
      <c r="G31" s="93">
        <f t="shared" ca="1" si="2"/>
        <v>14.86170698447728</v>
      </c>
      <c r="H31" s="93">
        <f t="shared" ca="1" si="4"/>
        <v>220.87033449246076</v>
      </c>
    </row>
    <row r="32" spans="1:8" ht="15.75">
      <c r="A32" s="92">
        <v>7</v>
      </c>
      <c r="B32" s="27" t="str">
        <f>VLOOKUP(A32,{1,"A";2,"B";3,"C";4,"D";5,"E";6,"F";7,"G";8,"H";9,"I";10,"J";11,"K";12,"L";13,"M";14,"N";15,"O";16,"P";17,"Q";18,"R";19,"S";20,"T";21,"U";22,"V";23,"W";24,"X";25,"Y";26,"Z"},2,FALSE())</f>
        <v>G</v>
      </c>
      <c r="C32" s="92">
        <f>INDEX(rng_ClustersDetails_Cluster,MATCH(B32,rng_ClustersDetails_Product,0))</f>
        <v>1</v>
      </c>
      <c r="D32" s="93">
        <f ca="1">INDEX(rng_ClustersDetails_Total,MATCH($B32,rng_ClustersDetails_Product,0))</f>
        <v>97.255256242292944</v>
      </c>
      <c r="E32" s="93">
        <f t="shared" ca="1" si="1"/>
        <v>-1.9149882101139468</v>
      </c>
      <c r="F32" s="93">
        <f t="shared" ca="1" si="3"/>
        <v>3.6671798448754176</v>
      </c>
      <c r="G32" s="93">
        <f t="shared" ca="1" si="2"/>
        <v>17.059494205740606</v>
      </c>
      <c r="H32" s="93">
        <f t="shared" ca="1" si="4"/>
        <v>291.02634255569728</v>
      </c>
    </row>
    <row r="33" spans="1:8" ht="15.75">
      <c r="A33" s="92">
        <v>8</v>
      </c>
      <c r="B33" s="27" t="str">
        <f>VLOOKUP(A33,{1,"A";2,"B";3,"C";4,"D";5,"E";6,"F";7,"G";8,"H";9,"I";10,"J";11,"K";12,"L";13,"M";14,"N";15,"O";16,"P";17,"Q";18,"R";19,"S";20,"T";21,"U";22,"V";23,"W";24,"X";25,"Y";26,"Z"},2,FALSE())</f>
        <v>H</v>
      </c>
      <c r="C33" s="92">
        <f>INDEX(rng_ClustersDetails_Cluster,MATCH(B33,rng_ClustersDetails_Product,0))</f>
        <v>2</v>
      </c>
      <c r="D33" s="93">
        <f ca="1">INDEX(rng_ClustersDetails_Total,MATCH($B33,rng_ClustersDetails_Product,0))</f>
        <v>113.13758680253319</v>
      </c>
      <c r="E33" s="93">
        <f t="shared" ca="1" si="1"/>
        <v>13.89411816121752</v>
      </c>
      <c r="F33" s="93">
        <f t="shared" ref="F33:F39" ca="1" si="5">E33 ^ 2</f>
        <v>193.04651947787451</v>
      </c>
      <c r="G33" s="93">
        <f t="shared" ca="1" si="2"/>
        <v>32.941824765980854</v>
      </c>
      <c r="H33" s="93">
        <f t="shared" ref="H33:H39" ca="1" si="6">G33 ^ 2</f>
        <v>1085.1638189125895</v>
      </c>
    </row>
    <row r="34" spans="1:8" ht="15.75">
      <c r="A34" s="92">
        <v>9</v>
      </c>
      <c r="B34" s="27" t="str">
        <f>VLOOKUP(A34,{1,"A";2,"B";3,"C";4,"D";5,"E";6,"F";7,"G";8,"H";9,"I";10,"J";11,"K";12,"L";13,"M";14,"N";15,"O";16,"P";17,"Q";18,"R";19,"S";20,"T";21,"U";22,"V";23,"W";24,"X";25,"Y";26,"Z"},2,FALSE())</f>
        <v>I</v>
      </c>
      <c r="C34" s="92">
        <f>INDEX(rng_ClustersDetails_Cluster,MATCH(B34,rng_ClustersDetails_Product,0))</f>
        <v>2</v>
      </c>
      <c r="D34" s="93">
        <f ca="1">INDEX(rng_ClustersDetails_Total,MATCH($B34,rng_ClustersDetails_Product,0))</f>
        <v>92.27725601517146</v>
      </c>
      <c r="E34" s="93">
        <f t="shared" ca="1" si="1"/>
        <v>-6.9662126261442125</v>
      </c>
      <c r="F34" s="93">
        <f t="shared" ca="1" si="5"/>
        <v>48.528118352651049</v>
      </c>
      <c r="G34" s="93">
        <f t="shared" ca="1" si="2"/>
        <v>12.081493978619122</v>
      </c>
      <c r="H34" s="93">
        <f t="shared" ca="1" si="6"/>
        <v>145.96249675541009</v>
      </c>
    </row>
    <row r="35" spans="1:8" ht="15.75">
      <c r="A35" s="92">
        <v>10</v>
      </c>
      <c r="B35" s="27" t="str">
        <f>VLOOKUP(A35,{1,"A";2,"B";3,"C";4,"D";5,"E";6,"F";7,"G";8,"H";9,"I";10,"J";11,"K";12,"L";13,"M";14,"N";15,"O";16,"P";17,"Q";18,"R";19,"S";20,"T";21,"U";22,"V";23,"W";24,"X";25,"Y";26,"Z"},2,FALSE())</f>
        <v>J</v>
      </c>
      <c r="C35" s="92">
        <f>INDEX(rng_ClustersDetails_Cluster,MATCH(B35,rng_ClustersDetails_Product,0))</f>
        <v>2</v>
      </c>
      <c r="D35" s="93">
        <f ca="1">INDEX(rng_ClustersDetails_Total,MATCH($B35,rng_ClustersDetails_Product,0))</f>
        <v>120.44849205540028</v>
      </c>
      <c r="E35" s="93">
        <f t="shared" ca="1" si="1"/>
        <v>21.205023414084607</v>
      </c>
      <c r="F35" s="93">
        <f t="shared" ca="1" si="5"/>
        <v>449.65301799187642</v>
      </c>
      <c r="G35" s="93">
        <f t="shared" ca="1" si="2"/>
        <v>40.252730018847942</v>
      </c>
      <c r="H35" s="93">
        <f t="shared" ca="1" si="6"/>
        <v>1620.2822739702622</v>
      </c>
    </row>
    <row r="36" spans="1:8" ht="15.75">
      <c r="A36" s="92">
        <v>11</v>
      </c>
      <c r="B36" s="27" t="str">
        <f>VLOOKUP(A36,{1,"A";2,"B";3,"C";4,"D";5,"E";6,"F";7,"G";8,"H";9,"I";10,"J";11,"K";12,"L";13,"M";14,"N";15,"O";16,"P";17,"Q";18,"R";19,"S";20,"T";21,"U";22,"V";23,"W";24,"X";25,"Y";26,"Z"},2,FALSE())</f>
        <v>K</v>
      </c>
      <c r="C36" s="92">
        <f>INDEX(rng_ClustersDetails_Cluster,MATCH(B36,rng_ClustersDetails_Product,0))</f>
        <v>2</v>
      </c>
      <c r="D36" s="93">
        <f ca="1">INDEX(rng_ClustersDetails_Total,MATCH($B36,rng_ClustersDetails_Product,0))</f>
        <v>119.66316138398201</v>
      </c>
      <c r="E36" s="93">
        <f t="shared" ca="1" si="1"/>
        <v>20.419692742666342</v>
      </c>
      <c r="F36" s="93">
        <f t="shared" ca="1" si="5"/>
        <v>416.96385170490049</v>
      </c>
      <c r="G36" s="93">
        <f t="shared" ca="1" si="2"/>
        <v>39.467399347429676</v>
      </c>
      <c r="H36" s="93">
        <f t="shared" ca="1" si="6"/>
        <v>1557.6756112494925</v>
      </c>
    </row>
    <row r="37" spans="1:8" ht="15.75">
      <c r="A37" s="92">
        <v>12</v>
      </c>
      <c r="B37" s="27" t="str">
        <f>VLOOKUP(A37,{1,"A";2,"B";3,"C";4,"D";5,"E";6,"F";7,"G";8,"H";9,"I";10,"J";11,"K";12,"L";13,"M";14,"N";15,"O";16,"P";17,"Q";18,"R";19,"S";20,"T";21,"U";22,"V";23,"W";24,"X";25,"Y";26,"Z"},2,FALSE())</f>
        <v>L</v>
      </c>
      <c r="C37" s="92">
        <f>INDEX(rng_ClustersDetails_Cluster,MATCH(B37,rng_ClustersDetails_Product,0))</f>
        <v>2</v>
      </c>
      <c r="D37" s="93">
        <f ca="1">INDEX(rng_ClustersDetails_Total,MATCH($B37,rng_ClustersDetails_Product,0))</f>
        <v>89.033557860472015</v>
      </c>
      <c r="E37" s="93">
        <f t="shared" ca="1" si="1"/>
        <v>-10.209910780843657</v>
      </c>
      <c r="F37" s="93">
        <f t="shared" ca="1" si="5"/>
        <v>104.24227815278753</v>
      </c>
      <c r="G37" s="93">
        <f t="shared" ca="1" si="2"/>
        <v>8.8377958239196772</v>
      </c>
      <c r="H37" s="93">
        <f t="shared" ca="1" si="6"/>
        <v>78.106635025292093</v>
      </c>
    </row>
    <row r="38" spans="1:8" ht="15.75">
      <c r="A38" s="92">
        <v>13</v>
      </c>
      <c r="B38" s="27" t="str">
        <f>VLOOKUP(A38,{1,"A";2,"B";3,"C";4,"D";5,"E";6,"F";7,"G";8,"H";9,"I";10,"J";11,"K";12,"L";13,"M";14,"N";15,"O";16,"P";17,"Q";18,"R";19,"S";20,"T";21,"U";22,"V";23,"W";24,"X";25,"Y";26,"Z"},2,FALSE())</f>
        <v>M</v>
      </c>
      <c r="C38" s="92">
        <f>INDEX(rng_ClustersDetails_Cluster,MATCH(B38,rng_ClustersDetails_Product,0))</f>
        <v>2</v>
      </c>
      <c r="D38" s="93">
        <f ca="1">INDEX(rng_ClustersDetails_Total,MATCH($B38,rng_ClustersDetails_Product,0))</f>
        <v>74.980150359072454</v>
      </c>
      <c r="E38" s="93">
        <f t="shared" ca="1" si="1"/>
        <v>-24.263318282243219</v>
      </c>
      <c r="F38" s="93">
        <f t="shared" ca="1" si="5"/>
        <v>588.70861406543804</v>
      </c>
      <c r="G38" s="93">
        <f t="shared" ca="1" si="2"/>
        <v>-5.2156116774798846</v>
      </c>
      <c r="H38" s="93">
        <f t="shared" ca="1" si="6"/>
        <v>27.202605170264537</v>
      </c>
    </row>
    <row r="39" spans="1:8" ht="15.75">
      <c r="A39" s="92">
        <v>14</v>
      </c>
      <c r="B39" s="27" t="str">
        <f>VLOOKUP(A39,{1,"A";2,"B";3,"C";4,"D";5,"E";6,"F";7,"G";8,"H";9,"I";10,"J";11,"K";12,"L";13,"M";14,"N";15,"O";16,"P";17,"Q";18,"R";19,"S";20,"T";21,"U";22,"V";23,"W";24,"X";25,"Y";26,"Z"},2,FALSE())</f>
        <v>N</v>
      </c>
      <c r="C39" s="92">
        <f>INDEX(rng_ClustersDetails_Cluster,MATCH(B39,rng_ClustersDetails_Product,0))</f>
        <v>2</v>
      </c>
      <c r="D39" s="93">
        <f ca="1">INDEX(rng_ClustersDetails_Total,MATCH($B39,rng_ClustersDetails_Product,0))</f>
        <v>85.164076012578377</v>
      </c>
      <c r="E39" s="93">
        <f t="shared" ca="1" si="1"/>
        <v>-14.079392628737295</v>
      </c>
      <c r="F39" s="93">
        <f t="shared" ca="1" si="5"/>
        <v>198.2292967941421</v>
      </c>
      <c r="G39" s="93">
        <f t="shared" ca="1" si="2"/>
        <v>4.9683139760260389</v>
      </c>
      <c r="H39" s="93">
        <f t="shared" ca="1" si="6"/>
        <v>24.684143764375666</v>
      </c>
    </row>
    <row r="40" spans="1:8" ht="15.75">
      <c r="A40" s="92">
        <v>15</v>
      </c>
      <c r="B40" s="27" t="str">
        <f>VLOOKUP(A40,{1,"A";2,"B";3,"C";4,"D";5,"E";6,"F";7,"G";8,"H";9,"I";10,"J";11,"K";12,"L";13,"M";14,"N";15,"O";16,"P";17,"Q";18,"R";19,"S";20,"T";21,"U";22,"V";23,"W";24,"X";25,"Y";26,"Z"},2,FALSE())</f>
        <v>O</v>
      </c>
      <c r="C40" s="92">
        <f>INDEX(rng_ClustersDetails_Cluster,MATCH(B40,rng_ClustersDetails_Product,0))</f>
        <v>3</v>
      </c>
      <c r="D40" s="93">
        <f ca="1">INDEX(rng_ClustersDetails_Total,MATCH($B40,rng_ClustersDetails_Product,0))</f>
        <v>62.074739338596054</v>
      </c>
      <c r="E40" s="93">
        <f t="shared" ca="1" si="1"/>
        <v>11.150665381739806</v>
      </c>
      <c r="F40" s="93">
        <f t="shared" ref="F40:F46" ca="1" si="7">E40 ^ 2</f>
        <v>124.33733845553053</v>
      </c>
      <c r="G40" s="93">
        <f t="shared" ca="1" si="2"/>
        <v>-18.121022697956285</v>
      </c>
      <c r="H40" s="93">
        <f t="shared" ref="H40:H46" ca="1" si="8">G40 ^ 2</f>
        <v>328.37146361984685</v>
      </c>
    </row>
    <row r="41" spans="1:8" ht="15.75">
      <c r="A41" s="92">
        <v>16</v>
      </c>
      <c r="B41" s="27" t="str">
        <f>VLOOKUP(A41,{1,"A";2,"B";3,"C";4,"D";5,"E";6,"F";7,"G";8,"H";9,"I";10,"J";11,"K";12,"L";13,"M";14,"N";15,"O";16,"P";17,"Q";18,"R";19,"S";20,"T";21,"U";22,"V";23,"W";24,"X";25,"Y";26,"Z"},2,FALSE())</f>
        <v>P</v>
      </c>
      <c r="C41" s="92">
        <f>INDEX(rng_ClustersDetails_Cluster,MATCH(B41,rng_ClustersDetails_Product,0))</f>
        <v>3</v>
      </c>
      <c r="D41" s="93">
        <f ca="1">INDEX(rng_ClustersDetails_Total,MATCH($B41,rng_ClustersDetails_Product,0))</f>
        <v>52.182756192460687</v>
      </c>
      <c r="E41" s="93">
        <f t="shared" ca="1" si="1"/>
        <v>1.2586822356044394</v>
      </c>
      <c r="F41" s="93">
        <f t="shared" ca="1" si="7"/>
        <v>1.5842809702261895</v>
      </c>
      <c r="G41" s="93">
        <f t="shared" ca="1" si="2"/>
        <v>-28.013005844091651</v>
      </c>
      <c r="H41" s="93">
        <f t="shared" ca="1" si="8"/>
        <v>784.72849642111305</v>
      </c>
    </row>
    <row r="42" spans="1:8" ht="15.75">
      <c r="A42" s="92">
        <v>17</v>
      </c>
      <c r="B42" s="27" t="str">
        <f>VLOOKUP(A42,{1,"A";2,"B";3,"C";4,"D";5,"E";6,"F";7,"G";8,"H";9,"I";10,"J";11,"K";12,"L";13,"M";14,"N";15,"O";16,"P";17,"Q";18,"R";19,"S";20,"T";21,"U";22,"V";23,"W";24,"X";25,"Y";26,"Z"},2,FALSE())</f>
        <v>Q</v>
      </c>
      <c r="C42" s="92">
        <f>INDEX(rng_ClustersDetails_Cluster,MATCH(B42,rng_ClustersDetails_Product,0))</f>
        <v>3</v>
      </c>
      <c r="D42" s="93">
        <f ca="1">INDEX(rng_ClustersDetails_Total,MATCH($B42,rng_ClustersDetails_Product,0))</f>
        <v>48.90547222120653</v>
      </c>
      <c r="E42" s="93">
        <f t="shared" ca="1" si="1"/>
        <v>-2.0186017356497175</v>
      </c>
      <c r="F42" s="93">
        <f t="shared" ca="1" si="7"/>
        <v>4.0747529671680516</v>
      </c>
      <c r="G42" s="93">
        <f t="shared" ca="1" si="2"/>
        <v>-31.290289815345808</v>
      </c>
      <c r="H42" s="93">
        <f t="shared" ca="1" si="8"/>
        <v>979.08223672833367</v>
      </c>
    </row>
    <row r="43" spans="1:8" ht="15.75">
      <c r="A43" s="92">
        <v>18</v>
      </c>
      <c r="B43" s="27" t="str">
        <f>VLOOKUP(A43,{1,"A";2,"B";3,"C";4,"D";5,"E";6,"F";7,"G";8,"H";9,"I";10,"J";11,"K";12,"L";13,"M";14,"N";15,"O";16,"P";17,"Q";18,"R";19,"S";20,"T";21,"U";22,"V";23,"W";24,"X";25,"Y";26,"Z"},2,FALSE())</f>
        <v>R</v>
      </c>
      <c r="C43" s="92">
        <f>INDEX(rng_ClustersDetails_Cluster,MATCH(B43,rng_ClustersDetails_Product,0))</f>
        <v>3</v>
      </c>
      <c r="D43" s="93">
        <f ca="1">INDEX(rng_ClustersDetails_Total,MATCH($B43,rng_ClustersDetails_Product,0))</f>
        <v>46.39688771214275</v>
      </c>
      <c r="E43" s="93">
        <f t="shared" ca="1" si="1"/>
        <v>-4.5271862447134978</v>
      </c>
      <c r="F43" s="93">
        <f t="shared" ca="1" si="7"/>
        <v>20.495415294323102</v>
      </c>
      <c r="G43" s="93">
        <f t="shared" ca="1" si="2"/>
        <v>-33.798874324409589</v>
      </c>
      <c r="H43" s="93">
        <f t="shared" ca="1" si="8"/>
        <v>1142.3639055972337</v>
      </c>
    </row>
    <row r="44" spans="1:8" ht="15.75">
      <c r="A44" s="92">
        <v>19</v>
      </c>
      <c r="B44" s="27" t="str">
        <f>VLOOKUP(A44,{1,"A";2,"B";3,"C";4,"D";5,"E";6,"F";7,"G";8,"H";9,"I";10,"J";11,"K";12,"L";13,"M";14,"N";15,"O";16,"P";17,"Q";18,"R";19,"S";20,"T";21,"U";22,"V";23,"W";24,"X";25,"Y";26,"Z"},2,FALSE())</f>
        <v>S</v>
      </c>
      <c r="C44" s="92">
        <f>INDEX(rng_ClustersDetails_Cluster,MATCH(B44,rng_ClustersDetails_Product,0))</f>
        <v>3</v>
      </c>
      <c r="D44" s="93">
        <f ca="1">INDEX(rng_ClustersDetails_Total,MATCH($B44,rng_ClustersDetails_Product,0))</f>
        <v>49.245437340382665</v>
      </c>
      <c r="E44" s="93">
        <f t="shared" ca="1" si="1"/>
        <v>-1.6786366164735824</v>
      </c>
      <c r="F44" s="93">
        <f t="shared" ca="1" si="7"/>
        <v>2.8178208901658772</v>
      </c>
      <c r="G44" s="93">
        <f t="shared" ca="1" si="2"/>
        <v>-30.950324696169673</v>
      </c>
      <c r="H44" s="93">
        <f t="shared" ca="1" si="8"/>
        <v>957.92259879833034</v>
      </c>
    </row>
    <row r="45" spans="1:8" ht="15.75">
      <c r="A45" s="92">
        <v>20</v>
      </c>
      <c r="B45" s="27" t="str">
        <f>VLOOKUP(A45,{1,"A";2,"B";3,"C";4,"D";5,"E";6,"F";7,"G";8,"H";9,"I";10,"J";11,"K";12,"L";13,"M";14,"N";15,"O";16,"P";17,"Q";18,"R";19,"S";20,"T";21,"U";22,"V";23,"W";24,"X";25,"Y";26,"Z"},2,FALSE())</f>
        <v>T</v>
      </c>
      <c r="C45" s="92">
        <f>INDEX(rng_ClustersDetails_Cluster,MATCH(B45,rng_ClustersDetails_Product,0))</f>
        <v>3</v>
      </c>
      <c r="D45" s="93">
        <f ca="1">INDEX(rng_ClustersDetails_Total,MATCH($B45,rng_ClustersDetails_Product,0))</f>
        <v>45.824631969274989</v>
      </c>
      <c r="E45" s="93">
        <f t="shared" ca="1" si="1"/>
        <v>-5.0994419875812582</v>
      </c>
      <c r="F45" s="93">
        <f t="shared" ca="1" si="7"/>
        <v>26.004308584706692</v>
      </c>
      <c r="G45" s="93">
        <f t="shared" ca="1" si="2"/>
        <v>-34.371130067277349</v>
      </c>
      <c r="H45" s="93">
        <f t="shared" ca="1" si="8"/>
        <v>1181.3745821016971</v>
      </c>
    </row>
    <row r="46" spans="1:8" ht="15.75">
      <c r="A46" s="92">
        <v>21</v>
      </c>
      <c r="B46" s="27" t="str">
        <f>VLOOKUP(A46,{1,"A";2,"B";3,"C";4,"D";5,"E";6,"F";7,"G";8,"H";9,"I";10,"J";11,"K";12,"L";13,"M";14,"N";15,"O";16,"P";17,"Q";18,"R";19,"S";20,"T";21,"U";22,"V";23,"W";24,"X";25,"Y";26,"Z"},2,FALSE())</f>
        <v>U</v>
      </c>
      <c r="C46" s="92">
        <f>INDEX(rng_ClustersDetails_Cluster,MATCH(B46,rng_ClustersDetails_Product,0))</f>
        <v>3</v>
      </c>
      <c r="D46" s="93">
        <f ca="1">INDEX(rng_ClustersDetails_Total,MATCH($B46,rng_ClustersDetails_Product,0))</f>
        <v>51.83859292393003</v>
      </c>
      <c r="E46" s="93">
        <f t="shared" ca="1" si="1"/>
        <v>0.91451896707378211</v>
      </c>
      <c r="F46" s="93">
        <f t="shared" ca="1" si="7"/>
        <v>0.83634494113769742</v>
      </c>
      <c r="G46" s="93">
        <f t="shared" ca="1" si="2"/>
        <v>-28.357169112622309</v>
      </c>
      <c r="H46" s="93">
        <f t="shared" ca="1" si="8"/>
        <v>804.12904008186069</v>
      </c>
    </row>
    <row r="47" spans="1:8" ht="15.75">
      <c r="A47" s="92">
        <v>22</v>
      </c>
      <c r="B47" s="27" t="str">
        <f>VLOOKUP(A47,{1,"A";2,"B";3,"C";4,"D";5,"E";6,"F";7,"G";8,"H";9,"I";10,"J";11,"K";12,"L";13,"M";14,"N";15,"O";16,"P";17,"Q";18,"R";19,"S";20,"T";21,"U";22,"V";23,"W";24,"X";25,"Y";26,"Z"},2,FALSE())</f>
        <v>V</v>
      </c>
      <c r="C47" s="92">
        <f>INDEX(rng_ClustersDetails_Cluster,MATCH(B47,rng_ClustersDetails_Product,0))</f>
        <v>4</v>
      </c>
      <c r="D47" s="93">
        <f ca="1">INDEX(rng_ClustersDetails_Total,MATCH($B47,rng_ClustersDetails_Product,0))</f>
        <v>79.954364582694879</v>
      </c>
      <c r="E47" s="93">
        <f t="shared" ca="1" si="1"/>
        <v>12.009303863433104</v>
      </c>
      <c r="F47" s="93">
        <f t="shared" ref="F47" ca="1" si="9">E47 ^ 2</f>
        <v>144.22337928426927</v>
      </c>
      <c r="G47" s="93">
        <f t="shared" ca="1" si="2"/>
        <v>-0.24139745385745925</v>
      </c>
      <c r="H47" s="93">
        <f t="shared" ref="H47" ca="1" si="10">G47 ^ 2</f>
        <v>5.8272730728864172E-2</v>
      </c>
    </row>
    <row r="48" spans="1:8" ht="15.75">
      <c r="A48" s="92">
        <v>23</v>
      </c>
      <c r="B48" s="27" t="str">
        <f>VLOOKUP(A48,{1,"A";2,"B";3,"C";4,"D";5,"E";6,"F";7,"G";8,"H";9,"I";10,"J";11,"K";12,"L";13,"M";14,"N";15,"O";16,"P";17,"Q";18,"R";19,"S";20,"T";21,"U";22,"V";23,"W";24,"X";25,"Y";26,"Z"},2,FALSE())</f>
        <v>W</v>
      </c>
      <c r="C48" s="92">
        <f>INDEX(rng_ClustersDetails_Cluster,MATCH(B48,rng_ClustersDetails_Product,0))</f>
        <v>4</v>
      </c>
      <c r="D48" s="93">
        <f ca="1">INDEX(rng_ClustersDetails_Total,MATCH($B48,rng_ClustersDetails_Product,0))</f>
        <v>78.324832546265071</v>
      </c>
      <c r="E48" s="93">
        <f t="shared" ca="1" si="1"/>
        <v>10.379771827003296</v>
      </c>
      <c r="F48" s="93">
        <f t="shared" ref="F48:F51" ca="1" si="11">E48 ^ 2</f>
        <v>107.73966318065133</v>
      </c>
      <c r="G48" s="93">
        <f t="shared" ca="1" si="2"/>
        <v>-1.8709294902872671</v>
      </c>
      <c r="H48" s="93">
        <f t="shared" ref="H48:H51" ca="1" si="12">G48 ^ 2</f>
        <v>3.500377157626573</v>
      </c>
    </row>
    <row r="49" spans="1:8" ht="15.75">
      <c r="A49" s="92">
        <v>24</v>
      </c>
      <c r="B49" s="27" t="str">
        <f>VLOOKUP(A49,{1,"A";2,"B";3,"C";4,"D";5,"E";6,"F";7,"G";8,"H";9,"I";10,"J";11,"K";12,"L";13,"M";14,"N";15,"O";16,"P";17,"Q";18,"R";19,"S";20,"T";21,"U";22,"V";23,"W";24,"X";25,"Y";26,"Z"},2,FALSE())</f>
        <v>X</v>
      </c>
      <c r="C49" s="92">
        <f>INDEX(rng_ClustersDetails_Cluster,MATCH(B49,rng_ClustersDetails_Product,0))</f>
        <v>4</v>
      </c>
      <c r="D49" s="93">
        <f ca="1">INDEX(rng_ClustersDetails_Total,MATCH($B49,rng_ClustersDetails_Product,0))</f>
        <v>45.35049128932863</v>
      </c>
      <c r="E49" s="93">
        <f t="shared" ca="1" si="1"/>
        <v>-22.594569429933145</v>
      </c>
      <c r="F49" s="93">
        <f t="shared" ca="1" si="11"/>
        <v>510.51456772406942</v>
      </c>
      <c r="G49" s="93">
        <f t="shared" ca="1" si="2"/>
        <v>-34.845270747223708</v>
      </c>
      <c r="H49" s="93">
        <f t="shared" ca="1" si="12"/>
        <v>1214.1928934473242</v>
      </c>
    </row>
    <row r="50" spans="1:8" ht="15.75">
      <c r="A50" s="92">
        <v>25</v>
      </c>
      <c r="B50" s="27" t="str">
        <f>VLOOKUP(A50,{1,"A";2,"B";3,"C";4,"D";5,"E";6,"F";7,"G";8,"H";9,"I";10,"J";11,"K";12,"L";13,"M";14,"N";15,"O";16,"P";17,"Q";18,"R";19,"S";20,"T";21,"U";22,"V";23,"W";24,"X";25,"Y";26,"Z"},2,FALSE())</f>
        <v>Y</v>
      </c>
      <c r="C50" s="92">
        <f>INDEX(rng_ClustersDetails_Cluster,MATCH(B50,rng_ClustersDetails_Product,0))</f>
        <v>4</v>
      </c>
      <c r="D50" s="93">
        <f ca="1">INDEX(rng_ClustersDetails_Total,MATCH($B50,rng_ClustersDetails_Product,0))</f>
        <v>80.563128323144127</v>
      </c>
      <c r="E50" s="93">
        <f t="shared" ca="1" si="1"/>
        <v>12.618067603882352</v>
      </c>
      <c r="F50" s="93">
        <f t="shared" ca="1" si="11"/>
        <v>159.21563005614533</v>
      </c>
      <c r="G50" s="93">
        <f t="shared" ca="1" si="2"/>
        <v>0.36736628659178905</v>
      </c>
      <c r="H50" s="93">
        <f t="shared" ca="1" si="12"/>
        <v>0.13495798852424049</v>
      </c>
    </row>
    <row r="51" spans="1:8" ht="15.75">
      <c r="A51" s="92">
        <v>26</v>
      </c>
      <c r="B51" s="27" t="str">
        <f>VLOOKUP(A51,{1,"A";2,"B";3,"C";4,"D";5,"E";6,"F";7,"G";8,"H";9,"I";10,"J";11,"K";12,"L";13,"M";14,"N";15,"O";16,"P";17,"Q";18,"R";19,"S";20,"T";21,"U";22,"V";23,"W";24,"X";25,"Y";26,"Z"},2,FALSE())</f>
        <v>Z</v>
      </c>
      <c r="C51" s="92">
        <f>INDEX(rng_ClustersDetails_Cluster,MATCH(B51,rng_ClustersDetails_Product,0))</f>
        <v>4</v>
      </c>
      <c r="D51" s="93">
        <f ca="1">INDEX(rng_ClustersDetails_Total,MATCH($B51,rng_ClustersDetails_Product,0))</f>
        <v>55.532486854876211</v>
      </c>
      <c r="E51" s="93">
        <f t="shared" ca="1" si="1"/>
        <v>-12.412573864385564</v>
      </c>
      <c r="F51" s="93">
        <f t="shared" ca="1" si="11"/>
        <v>154.07198993882758</v>
      </c>
      <c r="G51" s="93">
        <f t="shared" ca="1" si="2"/>
        <v>-24.663275181676127</v>
      </c>
      <c r="H51" s="93">
        <f t="shared" ca="1" si="12"/>
        <v>608.27714268708155</v>
      </c>
    </row>
  </sheetData>
  <conditionalFormatting sqref="C20">
    <cfRule type="expression" dxfId="9" priority="7" stopIfTrue="1">
      <formula>ABS(C20)&gt;=0.0001</formula>
    </cfRule>
    <cfRule type="expression" dxfId="8" priority="8" stopIfTrue="1">
      <formula>ABS(C20)&lt;0.0001</formula>
    </cfRule>
  </conditionalFormatting>
  <conditionalFormatting sqref="C21">
    <cfRule type="expression" dxfId="7" priority="1" stopIfTrue="1">
      <formula>ABS(C21)&gt;=0.0001</formula>
    </cfRule>
    <cfRule type="expression" dxfId="6" priority="2" stopIfTrue="1">
      <formula>ABS(C21)&lt;0.0001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2:H24"/>
  <sheetViews>
    <sheetView topLeftCell="B1" workbookViewId="0">
      <selection activeCell="C7" sqref="C7"/>
    </sheetView>
  </sheetViews>
  <sheetFormatPr defaultColWidth="9.140625" defaultRowHeight="15"/>
  <cols>
    <col min="1" max="1" width="4.140625" customWidth="1"/>
    <col min="2" max="2" width="20.7109375" customWidth="1"/>
    <col min="8" max="8" width="3.7109375" customWidth="1"/>
  </cols>
  <sheetData>
    <row r="2" spans="1:8">
      <c r="B2" s="54" t="s">
        <v>159</v>
      </c>
      <c r="C2" s="104">
        <v>1</v>
      </c>
      <c r="D2" s="104">
        <v>2</v>
      </c>
      <c r="E2" s="104">
        <v>3</v>
      </c>
      <c r="F2" s="104">
        <v>4</v>
      </c>
      <c r="G2" s="104" t="s">
        <v>157</v>
      </c>
    </row>
    <row r="3" spans="1:8">
      <c r="A3">
        <v>0</v>
      </c>
      <c r="B3" s="54" t="s">
        <v>144</v>
      </c>
      <c r="C3" s="93">
        <f t="array" aca="1" ref="C3" ca="1">_xlfn.QUARTILE.INC(IF((rng_ClustersDetails_Cluster=C$2),rng_ClustersDetails_Total),$A3)</f>
        <v>90.650455062344918</v>
      </c>
      <c r="D3" s="93">
        <f t="array" aca="1" ref="D3" ca="1">_xlfn.QUARTILE.INC(IF((rng_ClustersDetails_Cluster=D$2),rng_ClustersDetails_Total),$A3)</f>
        <v>74.980150359072454</v>
      </c>
      <c r="E3" s="93">
        <f t="array" aca="1" ref="E3" ca="1">_xlfn.QUARTILE.INC(IF((rng_ClustersDetails_Cluster=E$2),rng_ClustersDetails_Total),$A3)</f>
        <v>45.824631969274989</v>
      </c>
      <c r="F3" s="93">
        <f t="array" aca="1" ref="F3" ca="1">_xlfn.QUARTILE.INC(IF((rng_ClustersDetails_Cluster=F$2),rng_ClustersDetails_Total),$A3)</f>
        <v>45.35049128932863</v>
      </c>
      <c r="G3" s="93">
        <f ca="1">_xlfn.QUARTILE.INC(rng_ClustersDetails_Total,$A3)</f>
        <v>45.35049128932863</v>
      </c>
    </row>
    <row r="4" spans="1:8">
      <c r="A4" s="94">
        <v>1</v>
      </c>
      <c r="B4" s="54" t="s">
        <v>145</v>
      </c>
      <c r="C4" s="93">
        <f ca="1">C6 - $A4 * C11</f>
        <v>93.322621922254058</v>
      </c>
      <c r="D4" s="93">
        <f ca="1">D6 - $A4 * D11</f>
        <v>62.97569885843906</v>
      </c>
      <c r="E4" s="93">
        <f ca="1">E6 - $A4 * E11</f>
        <v>44.885942748861943</v>
      </c>
      <c r="F4" s="93">
        <f ca="1">F6 - $A4 * F11</f>
        <v>53.902954818446403</v>
      </c>
      <c r="G4" s="93">
        <f ca="1">G6 - $A4 * G11</f>
        <v>36.747302300556655</v>
      </c>
    </row>
    <row r="5" spans="1:8">
      <c r="A5">
        <v>1</v>
      </c>
      <c r="B5" s="101" t="s">
        <v>146</v>
      </c>
      <c r="C5" s="96">
        <f t="array" aca="1" ref="C5" ca="1">_xlfn.QUARTILE.INC(IF((rng_ClustersDetails_Cluster=C$2),rng_ClustersDetails_Total),$A5)</f>
        <v>96.156362631661281</v>
      </c>
      <c r="D5" s="96">
        <f t="array" aca="1" ref="D5" ca="1">_xlfn.QUARTILE.INC(IF((rng_ClustersDetails_Cluster=D$2),rng_ClustersDetails_Total),$A5)</f>
        <v>87.098816936525196</v>
      </c>
      <c r="E5" s="96">
        <f t="array" aca="1" ref="E5" ca="1">_xlfn.QUARTILE.INC(IF((rng_ClustersDetails_Cluster=E$2),rng_ClustersDetails_Total),$A5)</f>
        <v>47.65117996667464</v>
      </c>
      <c r="F5" s="96">
        <f t="array" aca="1" ref="F5" ca="1">_xlfn.QUARTILE.INC(IF((rng_ClustersDetails_Cluster=F$2),rng_ClustersDetails_Total),$A5)</f>
        <v>55.532486854876211</v>
      </c>
      <c r="G5" s="97">
        <f ca="1">_xlfn.QUARTILE.INC(rng_ClustersDetails_Total,$A5)</f>
        <v>53.020188858064571</v>
      </c>
    </row>
    <row r="6" spans="1:8">
      <c r="A6">
        <v>2</v>
      </c>
      <c r="B6" s="102" t="s">
        <v>147</v>
      </c>
      <c r="C6" s="93">
        <f t="array" aca="1" ref="C6" ca="1">_xlfn.QUARTILE.INC(IF((rng_ClustersDetails_Cluster=C$2),rng_ClustersDetails_Total),$A6)</f>
        <v>99.763566219727892</v>
      </c>
      <c r="D6" s="93">
        <f t="array" aca="1" ref="D6" ca="1">_xlfn.QUARTILE.INC(IF((rng_ClustersDetails_Cluster=D$2),rng_ClustersDetails_Total),$A6)</f>
        <v>92.27725601517146</v>
      </c>
      <c r="E6" s="93">
        <f t="array" aca="1" ref="E6" ca="1">_xlfn.QUARTILE.INC(IF((rng_ClustersDetails_Cluster=E$2),rng_ClustersDetails_Total),$A6)</f>
        <v>49.245437340382665</v>
      </c>
      <c r="F6" s="93">
        <f t="array" aca="1" ref="F6" ca="1">_xlfn.QUARTILE.INC(IF((rng_ClustersDetails_Cluster=F$2),rng_ClustersDetails_Total),$A6)</f>
        <v>78.324832546265071</v>
      </c>
      <c r="G6" s="98">
        <f ca="1">_xlfn.QUARTILE.INC(rng_ClustersDetails_Total,$A6)</f>
        <v>82.863602167861245</v>
      </c>
    </row>
    <row r="7" spans="1:8">
      <c r="A7">
        <v>3</v>
      </c>
      <c r="B7" s="103" t="s">
        <v>148</v>
      </c>
      <c r="C7" s="99">
        <f t="array" aca="1" ref="C7" ca="1">_xlfn.QUARTILE.INC(IF((rng_ClustersDetails_Cluster=C$2),rng_ClustersDetails_Total),$A7)</f>
        <v>102.59730692913512</v>
      </c>
      <c r="D7" s="99">
        <f t="array" aca="1" ref="D7" ca="1">_xlfn.QUARTILE.INC(IF((rng_ClustersDetails_Cluster=D$2),rng_ClustersDetails_Total),$A7)</f>
        <v>116.4003740932576</v>
      </c>
      <c r="E7" s="99">
        <f t="array" aca="1" ref="E7" ca="1">_xlfn.QUARTILE.INC(IF((rng_ClustersDetails_Cluster=E$2),rng_ClustersDetails_Total),$A7)</f>
        <v>52.010674558195362</v>
      </c>
      <c r="F7" s="99">
        <f t="array" aca="1" ref="F7" ca="1">_xlfn.QUARTILE.INC(IF((rng_ClustersDetails_Cluster=F$2),rng_ClustersDetails_Total),$A7)</f>
        <v>79.954364582694879</v>
      </c>
      <c r="G7" s="100">
        <f ca="1">_xlfn.QUARTILE.INC(rng_ClustersDetails_Total,$A7)</f>
        <v>99.136488725369162</v>
      </c>
    </row>
    <row r="8" spans="1:8">
      <c r="A8">
        <f>A4</f>
        <v>1</v>
      </c>
      <c r="B8" s="54" t="s">
        <v>149</v>
      </c>
      <c r="C8" s="93">
        <f ca="1">C6 + $A8 * C11</f>
        <v>106.20451051720173</v>
      </c>
      <c r="D8" s="93">
        <f ca="1">D6 + $A8 * D11</f>
        <v>121.57881317190386</v>
      </c>
      <c r="E8" s="93">
        <f ca="1">E6 + $A8 * E11</f>
        <v>53.604931931903387</v>
      </c>
      <c r="F8" s="93">
        <f ca="1">F6 + $A8 * F11</f>
        <v>102.74671027408374</v>
      </c>
      <c r="G8" s="93">
        <f ca="1">G6 + $A8 * G11</f>
        <v>128.97990203516582</v>
      </c>
    </row>
    <row r="9" spans="1:8">
      <c r="A9">
        <v>4</v>
      </c>
      <c r="B9" s="54" t="s">
        <v>61</v>
      </c>
      <c r="C9" s="93">
        <f t="array" aca="1" ref="C9" ca="1">_xlfn.QUARTILE.INC(IF((rng_ClustersDetails_Cluster=C$2),rng_ClustersDetails_Total),$A9)</f>
        <v>106.27035076318263</v>
      </c>
      <c r="D9" s="93">
        <f t="array" aca="1" ref="D9" ca="1">_xlfn.QUARTILE.INC(IF((rng_ClustersDetails_Cluster=D$2),rng_ClustersDetails_Total),$A9)</f>
        <v>120.44849205540028</v>
      </c>
      <c r="E9" s="93">
        <f t="array" aca="1" ref="E9" ca="1">_xlfn.QUARTILE.INC(IF((rng_ClustersDetails_Cluster=E$2),rng_ClustersDetails_Total),$A9)</f>
        <v>62.074739338596054</v>
      </c>
      <c r="F9" s="93">
        <f t="array" aca="1" ref="F9" ca="1">_xlfn.QUARTILE.INC(IF((rng_ClustersDetails_Cluster=F$2),rng_ClustersDetails_Total),$A9)</f>
        <v>80.563128323144127</v>
      </c>
      <c r="G9" s="93">
        <f ca="1">_xlfn.QUARTILE.INC(rng_ClustersDetails_Total,$A9)</f>
        <v>120.44849205540028</v>
      </c>
    </row>
    <row r="10" spans="1:8">
      <c r="B10" s="54"/>
      <c r="C10" s="93"/>
      <c r="D10" s="93"/>
      <c r="E10" s="93"/>
      <c r="F10" s="93"/>
      <c r="G10" s="93"/>
    </row>
    <row r="11" spans="1:8">
      <c r="B11" s="54" t="s">
        <v>150</v>
      </c>
      <c r="C11" s="93">
        <f ca="1">C7-C5</f>
        <v>6.440944297473834</v>
      </c>
      <c r="D11" s="93">
        <f ca="1">D7-D5</f>
        <v>29.3015571567324</v>
      </c>
      <c r="E11" s="93">
        <f ca="1">E7-E5</f>
        <v>4.3594945915207219</v>
      </c>
      <c r="F11" s="93">
        <f ca="1">F7-F5</f>
        <v>24.421877727818668</v>
      </c>
      <c r="G11" s="93">
        <f ca="1">G7-G5</f>
        <v>46.116299867304591</v>
      </c>
    </row>
    <row r="12" spans="1:8">
      <c r="B12" s="54"/>
      <c r="C12" s="93"/>
      <c r="D12" s="93"/>
      <c r="E12" s="93"/>
      <c r="F12" s="93"/>
      <c r="G12" s="93"/>
    </row>
    <row r="13" spans="1:8" ht="15.75">
      <c r="B13" s="54" t="s">
        <v>151</v>
      </c>
      <c r="C13" s="95">
        <f>COUNTIF(rng_ClustersDetails_Cluster,C2)</f>
        <v>7</v>
      </c>
      <c r="D13" s="95">
        <f>COUNTIF(rng_ClustersDetails_Cluster,D2)</f>
        <v>7</v>
      </c>
      <c r="E13" s="95">
        <f>COUNTIF(rng_ClustersDetails_Cluster,E2)</f>
        <v>7</v>
      </c>
      <c r="F13" s="95">
        <f>COUNTIF(rng_ClustersDetails_Cluster,F2)</f>
        <v>5</v>
      </c>
      <c r="G13" s="95">
        <f>COUNT(rng_ClustersDetails_Cluster)</f>
        <v>26</v>
      </c>
      <c r="H13" s="3">
        <f>G13-SUM(C13:F13)</f>
        <v>0</v>
      </c>
    </row>
    <row r="14" spans="1:8">
      <c r="B14" s="54"/>
      <c r="C14" s="93"/>
      <c r="D14" s="93"/>
      <c r="E14" s="93"/>
      <c r="F14" s="93"/>
      <c r="G14" s="93"/>
    </row>
    <row r="15" spans="1:8">
      <c r="B15" s="54" t="s">
        <v>158</v>
      </c>
      <c r="C15" s="105" t="str">
        <f>"Group " &amp; C2</f>
        <v>Group 1</v>
      </c>
      <c r="D15" s="105" t="str">
        <f>"Group " &amp; D2</f>
        <v>Group 2</v>
      </c>
      <c r="E15" s="105" t="str">
        <f>"Group " &amp; E2</f>
        <v>Group 3</v>
      </c>
      <c r="F15" s="105" t="str">
        <f>"Group " &amp; F2</f>
        <v>Group 4</v>
      </c>
      <c r="G15" s="105" t="str">
        <f>G2</f>
        <v>Ω</v>
      </c>
    </row>
    <row r="16" spans="1:8">
      <c r="B16" s="54" t="s">
        <v>145</v>
      </c>
      <c r="C16" s="93">
        <f ca="1">IF(ISERR(C4),NA(),C4)</f>
        <v>93.322621922254058</v>
      </c>
      <c r="D16" s="93">
        <f ca="1">IF(ISERR(D4),NA(),D4)</f>
        <v>62.97569885843906</v>
      </c>
      <c r="E16" s="93">
        <f ca="1">IF(ISERR(E4),NA(),E4)</f>
        <v>44.885942748861943</v>
      </c>
      <c r="F16" s="93">
        <f ca="1">IF(ISERR(F4),NA(),F4)</f>
        <v>53.902954818446403</v>
      </c>
      <c r="G16" s="93">
        <f ca="1">IF(ISERR(G4),NA(),G4)</f>
        <v>36.747302300556655</v>
      </c>
    </row>
    <row r="17" spans="2:7">
      <c r="B17" s="54" t="s">
        <v>152</v>
      </c>
      <c r="C17" s="93">
        <f t="shared" ref="C17:G20" ca="1" si="0">IF(ISERR(C5),NA(),C5-C4)</f>
        <v>2.8337407094072233</v>
      </c>
      <c r="D17" s="93">
        <f t="shared" ca="1" si="0"/>
        <v>24.123118078086137</v>
      </c>
      <c r="E17" s="93">
        <f t="shared" ca="1" si="0"/>
        <v>2.7652372178126967</v>
      </c>
      <c r="F17" s="93">
        <f t="shared" ca="1" si="0"/>
        <v>1.6295320364298078</v>
      </c>
      <c r="G17" s="93">
        <f t="shared" ca="1" si="0"/>
        <v>16.272886557507917</v>
      </c>
    </row>
    <row r="18" spans="2:7">
      <c r="B18" s="54" t="s">
        <v>153</v>
      </c>
      <c r="C18" s="93">
        <f t="shared" ca="1" si="0"/>
        <v>3.6072035880666107</v>
      </c>
      <c r="D18" s="93">
        <f t="shared" ca="1" si="0"/>
        <v>5.1784390786462637</v>
      </c>
      <c r="E18" s="93">
        <f t="shared" ca="1" si="0"/>
        <v>1.5942573737080252</v>
      </c>
      <c r="F18" s="93">
        <f t="shared" ca="1" si="0"/>
        <v>22.79234569138886</v>
      </c>
      <c r="G18" s="93">
        <f t="shared" ca="1" si="0"/>
        <v>29.843413309796674</v>
      </c>
    </row>
    <row r="19" spans="2:7">
      <c r="B19" s="54" t="s">
        <v>154</v>
      </c>
      <c r="C19" s="93">
        <f t="shared" ca="1" si="0"/>
        <v>2.8337407094072233</v>
      </c>
      <c r="D19" s="93">
        <f t="shared" ca="1" si="0"/>
        <v>24.123118078086137</v>
      </c>
      <c r="E19" s="93">
        <f t="shared" ca="1" si="0"/>
        <v>2.7652372178126967</v>
      </c>
      <c r="F19" s="93">
        <f t="shared" ca="1" si="0"/>
        <v>1.6295320364298078</v>
      </c>
      <c r="G19" s="93">
        <f t="shared" ca="1" si="0"/>
        <v>16.272886557507917</v>
      </c>
    </row>
    <row r="20" spans="2:7">
      <c r="B20" s="54" t="s">
        <v>155</v>
      </c>
      <c r="C20" s="93">
        <f t="shared" ca="1" si="0"/>
        <v>3.6072035880666107</v>
      </c>
      <c r="D20" s="93">
        <f t="shared" ca="1" si="0"/>
        <v>5.1784390786462637</v>
      </c>
      <c r="E20" s="93">
        <f t="shared" ca="1" si="0"/>
        <v>1.5942573737080252</v>
      </c>
      <c r="F20" s="93">
        <f t="shared" ca="1" si="0"/>
        <v>22.79234569138886</v>
      </c>
      <c r="G20" s="93">
        <f t="shared" ca="1" si="0"/>
        <v>29.843413309796659</v>
      </c>
    </row>
    <row r="21" spans="2:7">
      <c r="B21" s="54"/>
      <c r="C21" s="93"/>
      <c r="D21" s="93"/>
      <c r="E21" s="93"/>
      <c r="F21" s="93"/>
      <c r="G21" s="93"/>
    </row>
    <row r="22" spans="2:7">
      <c r="B22" s="54" t="str">
        <f ca="1">"Median = " &amp; ROUND($G$6,0)</f>
        <v>Median = 83</v>
      </c>
      <c r="C22" s="93">
        <f ca="1">$G$6</f>
        <v>82.863602167861245</v>
      </c>
      <c r="D22" s="93">
        <f ca="1">$G$6</f>
        <v>82.863602167861245</v>
      </c>
      <c r="E22" s="93">
        <f ca="1">$G$6</f>
        <v>82.863602167861245</v>
      </c>
      <c r="F22" s="93">
        <f ca="1">$G$6</f>
        <v>82.863602167861245</v>
      </c>
      <c r="G22" s="93">
        <f ca="1">$G$6</f>
        <v>82.863602167861245</v>
      </c>
    </row>
    <row r="23" spans="2:7">
      <c r="B23" s="54"/>
    </row>
    <row r="24" spans="2:7" ht="15.75">
      <c r="B24" s="54" t="s">
        <v>156</v>
      </c>
      <c r="C24" s="3">
        <f ca="1">C8-SUM(C16:C20)</f>
        <v>0</v>
      </c>
      <c r="D24" s="3">
        <f ca="1">D8-SUM(D16:D20)</f>
        <v>0</v>
      </c>
      <c r="E24" s="3">
        <f ca="1">E8-SUM(E16:E20)</f>
        <v>0</v>
      </c>
      <c r="F24" s="3">
        <f ca="1">F8-SUM(F16:F20)</f>
        <v>0</v>
      </c>
      <c r="G24" s="3">
        <f ca="1">G8-SUM(G16:G20)</f>
        <v>0</v>
      </c>
    </row>
  </sheetData>
  <conditionalFormatting sqref="H13">
    <cfRule type="expression" dxfId="5" priority="5" stopIfTrue="1">
      <formula>ABS(H13)&gt;=0.0001</formula>
    </cfRule>
    <cfRule type="expression" dxfId="4" priority="6" stopIfTrue="1">
      <formula>ABS(H13)&lt;0.0001</formula>
    </cfRule>
  </conditionalFormatting>
  <conditionalFormatting sqref="C24">
    <cfRule type="expression" dxfId="3" priority="3" stopIfTrue="1">
      <formula>ABS(C24)&gt;=0.0001</formula>
    </cfRule>
    <cfRule type="expression" dxfId="2" priority="4" stopIfTrue="1">
      <formula>ABS(C24)&lt;0.0001</formula>
    </cfRule>
  </conditionalFormatting>
  <conditionalFormatting sqref="D24:G24">
    <cfRule type="expression" dxfId="1" priority="1" stopIfTrue="1">
      <formula>ABS(D24)&gt;=0.0001</formula>
    </cfRule>
    <cfRule type="expression" dxfId="0" priority="2" stopIfTrue="1">
      <formula>ABS(D24)&lt;0.0001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0"/>
  <dimension ref="A1:J160"/>
  <sheetViews>
    <sheetView topLeftCell="A16" workbookViewId="0">
      <selection activeCell="E37" sqref="E37"/>
    </sheetView>
  </sheetViews>
  <sheetFormatPr defaultColWidth="8.85546875" defaultRowHeight="15"/>
  <cols>
    <col min="1" max="15" width="11.7109375" style="3" customWidth="1"/>
    <col min="16" max="16384" width="8.85546875" style="3"/>
  </cols>
  <sheetData>
    <row r="1" spans="1:10">
      <c r="A1" s="31" t="s">
        <v>129</v>
      </c>
    </row>
    <row r="2" spans="1:10" ht="30">
      <c r="A2" s="65" t="s">
        <v>52</v>
      </c>
      <c r="B2" s="65" t="s">
        <v>55</v>
      </c>
      <c r="C2" s="65" t="s">
        <v>114</v>
      </c>
      <c r="D2" s="65" t="s">
        <v>182</v>
      </c>
      <c r="E2" s="65" t="s">
        <v>111</v>
      </c>
      <c r="F2" s="65" t="s">
        <v>160</v>
      </c>
      <c r="G2" s="65" t="s">
        <v>110</v>
      </c>
      <c r="H2"/>
      <c r="I2"/>
      <c r="J2"/>
    </row>
    <row r="3" spans="1:10" ht="15.75">
      <c r="A3" t="s">
        <v>116</v>
      </c>
      <c r="B3"/>
      <c r="C3"/>
      <c r="D3"/>
      <c r="E3" s="92"/>
      <c r="F3"/>
      <c r="G3" s="86"/>
      <c r="H3"/>
      <c r="I3"/>
      <c r="J3"/>
    </row>
    <row r="4" spans="1:10" ht="15.75">
      <c r="A4" s="27" t="s">
        <v>13</v>
      </c>
      <c r="B4" s="51">
        <f ca="1">MAX(VLOOKUP($E4,$A$36:$F$40,2,FALSE()) + VLOOKUP($E4,$A$36:$F$40,3,FALSE()) * _xlfn.NORM.S.INV(RAND()),0)</f>
        <v>69.254279333159076</v>
      </c>
      <c r="C4" s="51">
        <f ca="1">MAX(VLOOKUP($E4,$A$36:$F$40,4,FALSE()) + VLOOKUP($E4,$A$36:$F$40,5,FALSE()) * _xlfn.NORM.S.INV(RAND()),0)</f>
        <v>37.016071430023558</v>
      </c>
      <c r="D4" s="51">
        <f ca="1">SUM(B4:C4)</f>
        <v>106.27035076318263</v>
      </c>
      <c r="E4" s="106">
        <v>1</v>
      </c>
      <c r="F4" s="51">
        <f ca="1">SQRT((B4 - VLOOKUP(E4, $A$44:$D$48, 2, FALSE())) ^ 2 + (C4 - VLOOKUP(E4, $A$44:$D$48, 3, FALSE())) ^ 2)</f>
        <v>7.64328171218569</v>
      </c>
      <c r="G4" s="86">
        <f ca="1">F4  / VLOOKUP(E4, $A$44:$E$48, 5, FALSE())</f>
        <v>1.7569909017475545</v>
      </c>
      <c r="H4"/>
      <c r="I4"/>
      <c r="J4"/>
    </row>
    <row r="5" spans="1:10" ht="15.75">
      <c r="A5" s="27" t="s">
        <v>9</v>
      </c>
      <c r="B5" s="51">
        <f t="shared" ref="B5:B10" ca="1" si="0">MAX(VLOOKUP($E5,$A$36:$F$40,2,FALSE()) + VLOOKUP($E5,$A$36:$F$40,3,FALSE()) * _xlfn.NORM.S.INV(RAND()),0)</f>
        <v>55.669690216363023</v>
      </c>
      <c r="C5" s="51">
        <f t="shared" ref="C5:C10" ca="1" si="1">MAX(VLOOKUP($E5,$A$36:$F$40,4,FALSE()) + VLOOKUP($E5,$A$36:$F$40,5,FALSE()) * _xlfn.NORM.S.INV(RAND()),0)</f>
        <v>34.980764845981888</v>
      </c>
      <c r="D5" s="51">
        <f t="shared" ref="D5:D26" ca="1" si="2">SUM(B5:C5)</f>
        <v>90.650455062344918</v>
      </c>
      <c r="E5" s="106">
        <v>1</v>
      </c>
      <c r="F5" s="51">
        <f t="shared" ref="F5:F10" ca="1" si="3">SQRT((B5 - VLOOKUP(E5, $A$44:$D$48, 2, FALSE())) ^ 2 + (C5 - VLOOKUP(E5, $A$44:$D$48, 3, FALSE())) ^ 2)</f>
        <v>6.4861251422575004</v>
      </c>
      <c r="G5" s="86">
        <f t="shared" ref="G5:G10" ca="1" si="4">F5  / VLOOKUP(E5, $A$44:$E$48, 5, FALSE())</f>
        <v>1.4909908193457972</v>
      </c>
      <c r="H5"/>
      <c r="I5"/>
      <c r="J5"/>
    </row>
    <row r="6" spans="1:10" ht="15.75">
      <c r="A6" s="27" t="s">
        <v>14</v>
      </c>
      <c r="B6" s="51">
        <f t="shared" ca="1" si="0"/>
        <v>62.729657410067546</v>
      </c>
      <c r="C6" s="51">
        <f t="shared" ca="1" si="1"/>
        <v>38.611242261772908</v>
      </c>
      <c r="D6" s="51">
        <f t="shared" ca="1" si="2"/>
        <v>101.34089967184045</v>
      </c>
      <c r="E6" s="106">
        <v>1</v>
      </c>
      <c r="F6" s="51">
        <f t="shared" ca="1" si="3"/>
        <v>1.5350369803191493</v>
      </c>
      <c r="G6" s="86">
        <f t="shared" ca="1" si="4"/>
        <v>0.35286492240196804</v>
      </c>
      <c r="H6"/>
      <c r="I6"/>
      <c r="J6"/>
    </row>
    <row r="7" spans="1:10" ht="15.75">
      <c r="A7" s="27" t="s">
        <v>15</v>
      </c>
      <c r="B7" s="51">
        <f t="shared" ca="1" si="0"/>
        <v>64.148383854618615</v>
      </c>
      <c r="C7" s="51">
        <f t="shared" ca="1" si="1"/>
        <v>35.615182365109277</v>
      </c>
      <c r="D7" s="51">
        <f t="shared" ca="1" si="2"/>
        <v>99.763566219727892</v>
      </c>
      <c r="E7" s="106">
        <v>1</v>
      </c>
      <c r="F7" s="51">
        <f t="shared" ca="1" si="3"/>
        <v>3.1711984335609009</v>
      </c>
      <c r="G7" s="86">
        <f t="shared" ca="1" si="4"/>
        <v>0.72897572079798223</v>
      </c>
      <c r="H7"/>
      <c r="I7"/>
      <c r="J7"/>
    </row>
    <row r="8" spans="1:10" ht="15.75">
      <c r="A8" s="27" t="s">
        <v>16</v>
      </c>
      <c r="B8" s="51">
        <f t="shared" ca="1" si="0"/>
        <v>63.905936475063037</v>
      </c>
      <c r="C8" s="51">
        <f t="shared" ca="1" si="1"/>
        <v>39.947777711366754</v>
      </c>
      <c r="D8" s="51">
        <f t="shared" ca="1" si="2"/>
        <v>103.85371418642978</v>
      </c>
      <c r="E8" s="106">
        <v>1</v>
      </c>
      <c r="F8" s="51">
        <f t="shared" ca="1" si="3"/>
        <v>3.3129830865912875</v>
      </c>
      <c r="G8" s="86">
        <f t="shared" ca="1" si="4"/>
        <v>0.76156831057321717</v>
      </c>
      <c r="H8"/>
      <c r="I8"/>
      <c r="J8"/>
    </row>
    <row r="9" spans="1:10" ht="15.75">
      <c r="A9" s="27" t="s">
        <v>17</v>
      </c>
      <c r="B9" s="51">
        <f t="shared" ca="1" si="0"/>
        <v>55.114931034584778</v>
      </c>
      <c r="C9" s="51">
        <f t="shared" ca="1" si="1"/>
        <v>39.942537986444847</v>
      </c>
      <c r="D9" s="51">
        <f t="shared" ca="1" si="2"/>
        <v>95.057469021029618</v>
      </c>
      <c r="E9" s="106">
        <v>1</v>
      </c>
      <c r="F9" s="51">
        <f t="shared" ca="1" si="3"/>
        <v>6.9426456978376772</v>
      </c>
      <c r="G9" s="86">
        <f t="shared" ca="1" si="4"/>
        <v>1.5959329754534699</v>
      </c>
      <c r="H9"/>
      <c r="I9"/>
      <c r="J9"/>
    </row>
    <row r="10" spans="1:10" ht="15.75">
      <c r="A10" s="27" t="s">
        <v>8</v>
      </c>
      <c r="B10" s="51">
        <f t="shared" ca="1" si="0"/>
        <v>60.58052374023017</v>
      </c>
      <c r="C10" s="51">
        <f t="shared" ca="1" si="1"/>
        <v>36.674732502062781</v>
      </c>
      <c r="D10" s="51">
        <f t="shared" ca="1" si="2"/>
        <v>97.255256242292944</v>
      </c>
      <c r="E10" s="106">
        <v>1</v>
      </c>
      <c r="F10" s="51">
        <f t="shared" ca="1" si="3"/>
        <v>1.3602081962776071</v>
      </c>
      <c r="G10" s="86">
        <f t="shared" ca="1" si="4"/>
        <v>0.31267634968001118</v>
      </c>
      <c r="H10"/>
      <c r="I10"/>
    </row>
    <row r="11" spans="1:10" ht="15.75">
      <c r="A11" t="s">
        <v>118</v>
      </c>
      <c r="B11" s="51"/>
      <c r="C11" s="51"/>
      <c r="D11" s="51"/>
      <c r="E11" s="106"/>
      <c r="G11" s="86"/>
      <c r="H11"/>
      <c r="I11"/>
    </row>
    <row r="12" spans="1:10" ht="15.75">
      <c r="A12" s="27" t="s">
        <v>18</v>
      </c>
      <c r="B12" s="51">
        <f t="shared" ref="B12:B18" ca="1" si="5">MAX(VLOOKUP($E12,$A$36:$F$40,2,FALSE()) + VLOOKUP($E12,$A$36:$F$40,3,FALSE()) * _xlfn.NORM.S.INV(RAND()),0)</f>
        <v>29.572551776227016</v>
      </c>
      <c r="C12" s="51">
        <f t="shared" ref="C12:C18" ca="1" si="6">MAX(VLOOKUP($E12,$A$36:$F$40,4,FALSE()) + VLOOKUP($E12,$A$36:$F$40,5,FALSE()) * _xlfn.NORM.S.INV(RAND()),0)</f>
        <v>83.565035026306177</v>
      </c>
      <c r="D12" s="51">
        <f t="shared" ca="1" si="2"/>
        <v>113.13758680253319</v>
      </c>
      <c r="E12" s="106">
        <v>2</v>
      </c>
      <c r="F12" s="51">
        <f t="shared" ref="F12:F18" ca="1" si="7">SQRT((B12 - VLOOKUP(E12, $A$44:$D$48, 2, FALSE())) ^ 2 + (C12 - VLOOKUP(E12, $A$44:$D$48, 3, FALSE())) ^ 2)</f>
        <v>12.91387135527118</v>
      </c>
      <c r="G12" s="86">
        <f t="shared" ref="G12:G18" ca="1" si="8">F12  / VLOOKUP(E12, $A$44:$E$48, 5, FALSE())</f>
        <v>0.81565825192075692</v>
      </c>
      <c r="H12"/>
      <c r="I12"/>
    </row>
    <row r="13" spans="1:10" ht="15.75">
      <c r="A13" s="27" t="s">
        <v>19</v>
      </c>
      <c r="B13" s="51">
        <f t="shared" ca="1" si="5"/>
        <v>25.803706252033923</v>
      </c>
      <c r="C13" s="51">
        <f t="shared" ca="1" si="6"/>
        <v>66.473549763137541</v>
      </c>
      <c r="D13" s="51">
        <f t="shared" ca="1" si="2"/>
        <v>92.27725601517146</v>
      </c>
      <c r="E13" s="106">
        <v>2</v>
      </c>
      <c r="F13" s="51">
        <f t="shared" ca="1" si="7"/>
        <v>5.0343049686725063</v>
      </c>
      <c r="G13" s="86">
        <f t="shared" ca="1" si="8"/>
        <v>0.31797377234266005</v>
      </c>
      <c r="H13"/>
      <c r="I13"/>
    </row>
    <row r="14" spans="1:10" ht="15.75">
      <c r="A14" s="27" t="s">
        <v>0</v>
      </c>
      <c r="B14" s="51">
        <f t="shared" ca="1" si="5"/>
        <v>23.31801048698647</v>
      </c>
      <c r="C14" s="51">
        <f t="shared" ca="1" si="6"/>
        <v>97.130481568413813</v>
      </c>
      <c r="D14" s="51">
        <f t="shared" ca="1" si="2"/>
        <v>120.44849205540028</v>
      </c>
      <c r="E14" s="106">
        <v>2</v>
      </c>
      <c r="F14" s="51">
        <f t="shared" ca="1" si="7"/>
        <v>26.951999335547516</v>
      </c>
      <c r="G14" s="86">
        <f t="shared" ca="1" si="8"/>
        <v>1.7023261312595328</v>
      </c>
      <c r="H14"/>
      <c r="I14"/>
    </row>
    <row r="15" spans="1:10" ht="15.75">
      <c r="A15" s="27" t="s">
        <v>1</v>
      </c>
      <c r="B15" s="51">
        <f t="shared" ca="1" si="5"/>
        <v>35.233577197594052</v>
      </c>
      <c r="C15" s="51">
        <f t="shared" ca="1" si="6"/>
        <v>84.429584186387956</v>
      </c>
      <c r="D15" s="51">
        <f t="shared" ca="1" si="2"/>
        <v>119.66316138398201</v>
      </c>
      <c r="E15" s="106">
        <v>2</v>
      </c>
      <c r="F15" s="51">
        <f t="shared" ca="1" si="7"/>
        <v>15.276714446010571</v>
      </c>
      <c r="G15" s="86">
        <f t="shared" ca="1" si="8"/>
        <v>0.96489874006987075</v>
      </c>
      <c r="H15"/>
      <c r="I15"/>
    </row>
    <row r="16" spans="1:10" ht="15.75">
      <c r="A16" s="27" t="s">
        <v>2</v>
      </c>
      <c r="B16" s="51">
        <f t="shared" ca="1" si="5"/>
        <v>34.342150063705581</v>
      </c>
      <c r="C16" s="51">
        <f t="shared" ca="1" si="6"/>
        <v>54.691407796766434</v>
      </c>
      <c r="D16" s="51">
        <f t="shared" ca="1" si="2"/>
        <v>89.033557860472015</v>
      </c>
      <c r="E16" s="106">
        <v>2</v>
      </c>
      <c r="F16" s="51">
        <f t="shared" ca="1" si="7"/>
        <v>17.015632903200448</v>
      </c>
      <c r="G16" s="86">
        <f t="shared" ca="1" si="8"/>
        <v>1.074731272081682</v>
      </c>
      <c r="H16"/>
      <c r="I16"/>
    </row>
    <row r="17" spans="1:9" ht="15.75">
      <c r="A17" s="27" t="s">
        <v>20</v>
      </c>
      <c r="B17" s="51">
        <f t="shared" ca="1" si="5"/>
        <v>23.012070053829863</v>
      </c>
      <c r="C17" s="51">
        <f t="shared" ca="1" si="6"/>
        <v>51.968080305242594</v>
      </c>
      <c r="D17" s="51">
        <f t="shared" ca="1" si="2"/>
        <v>74.980150359072454</v>
      </c>
      <c r="E17" s="106">
        <v>2</v>
      </c>
      <c r="F17" s="51">
        <f t="shared" ca="1" si="7"/>
        <v>19.525841890778807</v>
      </c>
      <c r="G17" s="86">
        <f t="shared" ca="1" si="8"/>
        <v>1.233279597245863</v>
      </c>
      <c r="H17"/>
      <c r="I17"/>
    </row>
    <row r="18" spans="1:9" ht="15.75">
      <c r="A18" s="27" t="s">
        <v>99</v>
      </c>
      <c r="B18" s="51">
        <f t="shared" ca="1" si="5"/>
        <v>28.581295166351421</v>
      </c>
      <c r="C18" s="51">
        <f t="shared" ca="1" si="6"/>
        <v>56.58278084622696</v>
      </c>
      <c r="D18" s="51">
        <f t="shared" ca="1" si="2"/>
        <v>85.164076012578377</v>
      </c>
      <c r="E18" s="106">
        <v>2</v>
      </c>
      <c r="F18" s="51">
        <f t="shared" ca="1" si="7"/>
        <v>14.108809685004822</v>
      </c>
      <c r="G18" s="86">
        <f t="shared" ca="1" si="8"/>
        <v>0.89113223507963468</v>
      </c>
      <c r="H18"/>
      <c r="I18"/>
    </row>
    <row r="19" spans="1:9" ht="15.75">
      <c r="A19" t="s">
        <v>117</v>
      </c>
      <c r="B19" s="51"/>
      <c r="C19" s="51"/>
      <c r="D19" s="51"/>
      <c r="E19" s="106"/>
      <c r="G19" s="86"/>
      <c r="H19"/>
      <c r="I19"/>
    </row>
    <row r="20" spans="1:9" ht="15.75">
      <c r="A20" s="27" t="s">
        <v>100</v>
      </c>
      <c r="B20" s="51">
        <f t="shared" ref="B20:B26" ca="1" si="9">MAX(VLOOKUP($E20,$A$36:$F$40,2,FALSE()) + VLOOKUP($E20,$A$36:$F$40,3,FALSE()) * _xlfn.NORM.S.INV(RAND()),0)</f>
        <v>46.738174982290893</v>
      </c>
      <c r="C20" s="51">
        <f t="shared" ref="C20:C26" ca="1" si="10">MAX(VLOOKUP($E20,$A$36:$F$40,4,FALSE()) + VLOOKUP($E20,$A$36:$F$40,5,FALSE()) * _xlfn.NORM.S.INV(RAND()),0)</f>
        <v>15.336564356305162</v>
      </c>
      <c r="D20" s="51">
        <f t="shared" ca="1" si="2"/>
        <v>62.074739338596054</v>
      </c>
      <c r="E20" s="106">
        <v>3</v>
      </c>
      <c r="F20" s="51">
        <f t="shared" ref="F20:F26" ca="1" si="11">SQRT((B20 - VLOOKUP(E20, $A$44:$D$48, 2, FALSE())) ^ 2 + (C20 - VLOOKUP(E20, $A$44:$D$48, 3, FALSE())) ^ 2)</f>
        <v>9.8276792272920321</v>
      </c>
      <c r="G20" s="86">
        <f t="shared" ref="G20:G26" ca="1" si="12">F20  / VLOOKUP(E20, $A$44:$E$48, 5, FALSE())</f>
        <v>2.3659219746418079</v>
      </c>
      <c r="H20"/>
      <c r="I20"/>
    </row>
    <row r="21" spans="1:9" ht="15.75">
      <c r="A21" s="27" t="s">
        <v>101</v>
      </c>
      <c r="B21" s="51">
        <f t="shared" ca="1" si="9"/>
        <v>38.80445727157943</v>
      </c>
      <c r="C21" s="51">
        <f t="shared" ca="1" si="10"/>
        <v>13.378298920881255</v>
      </c>
      <c r="D21" s="51">
        <f t="shared" ca="1" si="2"/>
        <v>52.182756192460687</v>
      </c>
      <c r="E21" s="106">
        <v>3</v>
      </c>
      <c r="F21" s="51">
        <f t="shared" ca="1" si="11"/>
        <v>1.8669212904013082</v>
      </c>
      <c r="G21" s="86">
        <f t="shared" ca="1" si="12"/>
        <v>0.44944386194665964</v>
      </c>
      <c r="H21"/>
      <c r="I21"/>
    </row>
    <row r="22" spans="1:9" ht="15.75">
      <c r="A22" s="27" t="s">
        <v>102</v>
      </c>
      <c r="B22" s="51">
        <f t="shared" ca="1" si="9"/>
        <v>34.995263273807701</v>
      </c>
      <c r="C22" s="51">
        <f t="shared" ca="1" si="10"/>
        <v>13.910208947398827</v>
      </c>
      <c r="D22" s="51">
        <f t="shared" ca="1" si="2"/>
        <v>48.90547222120653</v>
      </c>
      <c r="E22" s="106">
        <v>3</v>
      </c>
      <c r="F22" s="51">
        <f t="shared" ca="1" si="11"/>
        <v>2.0194103203557665</v>
      </c>
      <c r="G22" s="86">
        <f t="shared" ca="1" si="12"/>
        <v>0.4861541715240385</v>
      </c>
      <c r="H22"/>
      <c r="I22"/>
    </row>
    <row r="23" spans="1:9" ht="15.75">
      <c r="A23" s="27" t="s">
        <v>7</v>
      </c>
      <c r="B23" s="51">
        <f t="shared" ca="1" si="9"/>
        <v>31.062918566961052</v>
      </c>
      <c r="C23" s="51">
        <f t="shared" ca="1" si="10"/>
        <v>15.333969145181698</v>
      </c>
      <c r="D23" s="51">
        <f t="shared" ca="1" si="2"/>
        <v>46.39688771214275</v>
      </c>
      <c r="E23" s="106">
        <v>3</v>
      </c>
      <c r="F23" s="51">
        <f t="shared" ca="1" si="11"/>
        <v>6.1198677871870961</v>
      </c>
      <c r="G23" s="86">
        <f t="shared" ca="1" si="12"/>
        <v>1.4733010047172792</v>
      </c>
      <c r="H23"/>
      <c r="I23"/>
    </row>
    <row r="24" spans="1:9" ht="15.75">
      <c r="A24" s="27" t="s">
        <v>103</v>
      </c>
      <c r="B24" s="51">
        <f t="shared" ca="1" si="9"/>
        <v>37.551564399874934</v>
      </c>
      <c r="C24" s="51">
        <f t="shared" ca="1" si="10"/>
        <v>11.693872940507731</v>
      </c>
      <c r="D24" s="51">
        <f t="shared" ca="1" si="2"/>
        <v>49.245437340382665</v>
      </c>
      <c r="E24" s="106">
        <v>3</v>
      </c>
      <c r="F24" s="51">
        <f t="shared" ca="1" si="11"/>
        <v>2.2796522512182689</v>
      </c>
      <c r="G24" s="86">
        <f t="shared" ca="1" si="12"/>
        <v>0.548804985486397</v>
      </c>
      <c r="H24"/>
      <c r="I24"/>
    </row>
    <row r="25" spans="1:9" ht="15.75">
      <c r="A25" s="27" t="s">
        <v>104</v>
      </c>
      <c r="B25" s="51">
        <f t="shared" ca="1" si="9"/>
        <v>31.540164640877954</v>
      </c>
      <c r="C25" s="51">
        <f t="shared" ca="1" si="10"/>
        <v>14.284467328397037</v>
      </c>
      <c r="D25" s="51">
        <f t="shared" ca="1" si="2"/>
        <v>45.824631969274989</v>
      </c>
      <c r="E25" s="106">
        <v>3</v>
      </c>
      <c r="F25" s="51">
        <f t="shared" ca="1" si="11"/>
        <v>5.4873419444436626</v>
      </c>
      <c r="G25" s="86">
        <f t="shared" ca="1" si="12"/>
        <v>1.3210263164348581</v>
      </c>
      <c r="H25"/>
      <c r="I25"/>
    </row>
    <row r="26" spans="1:9" ht="15.75">
      <c r="A26" s="27" t="s">
        <v>105</v>
      </c>
      <c r="B26" s="51">
        <f t="shared" ca="1" si="9"/>
        <v>38.410170891037218</v>
      </c>
      <c r="C26" s="51">
        <f t="shared" ca="1" si="10"/>
        <v>13.428422032892813</v>
      </c>
      <c r="D26" s="51">
        <f t="shared" ca="1" si="2"/>
        <v>51.83859292393003</v>
      </c>
      <c r="E26" s="106">
        <v>3</v>
      </c>
      <c r="F26" s="51">
        <f t="shared" ca="1" si="11"/>
        <v>1.4760601161905236</v>
      </c>
      <c r="G26" s="86">
        <f t="shared" ca="1" si="12"/>
        <v>0.35534768524895882</v>
      </c>
      <c r="H26"/>
      <c r="I26"/>
    </row>
    <row r="27" spans="1:9" ht="15.75">
      <c r="A27" t="s">
        <v>119</v>
      </c>
      <c r="B27" s="51"/>
      <c r="C27" s="51"/>
      <c r="D27" s="51"/>
      <c r="E27" s="106"/>
      <c r="G27" s="86"/>
      <c r="H27"/>
      <c r="I27"/>
    </row>
    <row r="28" spans="1:9" ht="15.75">
      <c r="A28" s="27" t="s">
        <v>106</v>
      </c>
      <c r="B28" s="51">
        <f ca="1">MAX(VLOOKUP($E28,$A$36:$F$40,2,FALSE()) + VLOOKUP($E28,$A$36:$F$40,3,FALSE()) * _xlfn.NORM.S.INV(RAND()),0)</f>
        <v>26.197823898874965</v>
      </c>
      <c r="C28" s="51">
        <f ca="1">MAX(VLOOKUP($E28,$A$36:$F$40,4,FALSE()) + VLOOKUP($E28,$A$36:$F$40,5,FALSE()) * _xlfn.NORM.S.INV(RAND()),0)</f>
        <v>53.756540683819914</v>
      </c>
      <c r="D28" s="51">
        <f ca="1">SUM(B28:C28)</f>
        <v>79.954364582694879</v>
      </c>
      <c r="E28" s="106">
        <v>4</v>
      </c>
      <c r="F28" s="51">
        <f ca="1">SQRT((B28 - VLOOKUP(E28, $A$44:$D$48, 2, FALSE())) ^ 2 + (C28 - VLOOKUP(E28, $A$44:$D$48, 3, FALSE())) ^ 2)</f>
        <v>17.963221036226606</v>
      </c>
      <c r="G28" s="86">
        <f ca="1">F28  / VLOOKUP(E28, $A$44:$E$48, 5, FALSE())</f>
        <v>1.3356016285955896</v>
      </c>
      <c r="H28"/>
      <c r="I28"/>
    </row>
    <row r="29" spans="1:9" ht="15.75">
      <c r="A29" s="27" t="s">
        <v>107</v>
      </c>
      <c r="B29" s="51">
        <f ca="1">MAX(VLOOKUP($E29,$A$36:$F$40,2,FALSE()) + VLOOKUP($E29,$A$36:$F$40,3,FALSE()) * _xlfn.NORM.S.INV(RAND()),0)</f>
        <v>36.96100487081015</v>
      </c>
      <c r="C29" s="51">
        <f ca="1">MAX(VLOOKUP($E29,$A$36:$F$40,4,FALSE()) + VLOOKUP($E29,$A$36:$F$40,5,FALSE()) * _xlfn.NORM.S.INV(RAND()),0)</f>
        <v>41.363827675454914</v>
      </c>
      <c r="D29" s="51">
        <f ca="1">SUM(B29:C29)</f>
        <v>78.324832546265071</v>
      </c>
      <c r="E29" s="106">
        <v>4</v>
      </c>
      <c r="F29" s="51">
        <f ca="1">SQRT((B29 - VLOOKUP(E29, $A$44:$D$48, 2, FALSE())) ^ 2 + (C29 - VLOOKUP(E29, $A$44:$D$48, 3, FALSE())) ^ 2)</f>
        <v>7.3597710660968936</v>
      </c>
      <c r="G29" s="86">
        <f ca="1">F29  / VLOOKUP(E29, $A$44:$E$48, 5, FALSE())</f>
        <v>0.54721378766903839</v>
      </c>
      <c r="H29"/>
      <c r="I29"/>
    </row>
    <row r="30" spans="1:9" ht="15.75">
      <c r="A30" s="27" t="s">
        <v>108</v>
      </c>
      <c r="B30" s="51">
        <f ca="1">MAX(VLOOKUP($E30,$A$36:$F$40,2,FALSE()) + VLOOKUP($E30,$A$36:$F$40,3,FALSE()) * _xlfn.NORM.S.INV(RAND()),0)</f>
        <v>19.001528346146831</v>
      </c>
      <c r="C30" s="51">
        <f ca="1">MAX(VLOOKUP($E30,$A$36:$F$40,4,FALSE()) + VLOOKUP($E30,$A$36:$F$40,5,FALSE()) * _xlfn.NORM.S.INV(RAND()),0)</f>
        <v>26.348962943181796</v>
      </c>
      <c r="D30" s="51">
        <f ca="1">SUM(B30:C30)</f>
        <v>45.35049128932863</v>
      </c>
      <c r="E30" s="106">
        <v>4</v>
      </c>
      <c r="F30" s="51">
        <f ca="1">SQRT((B30 - VLOOKUP(E30, $A$44:$D$48, 2, FALSE())) ^ 2 + (C30 - VLOOKUP(E30, $A$44:$D$48, 3, FALSE())) ^ 2)</f>
        <v>16.050604268493085</v>
      </c>
      <c r="G30" s="86">
        <f ca="1">F30  / VLOOKUP(E30, $A$44:$E$48, 5, FALSE())</f>
        <v>1.193394723458006</v>
      </c>
      <c r="H30"/>
      <c r="I30"/>
    </row>
    <row r="31" spans="1:9" ht="15.75">
      <c r="A31" s="27" t="s">
        <v>109</v>
      </c>
      <c r="B31" s="51">
        <f ca="1">MAX(VLOOKUP($E31,$A$36:$F$40,2,FALSE()) + VLOOKUP($E31,$A$36:$F$40,3,FALSE()) * _xlfn.NORM.S.INV(RAND()),0)</f>
        <v>39.70124273581812</v>
      </c>
      <c r="C31" s="51">
        <f ca="1">MAX(VLOOKUP($E31,$A$36:$F$40,4,FALSE()) + VLOOKUP($E31,$A$36:$F$40,5,FALSE()) * _xlfn.NORM.S.INV(RAND()),0)</f>
        <v>40.861885587326015</v>
      </c>
      <c r="D31" s="51">
        <f ca="1">SUM(B31:C31)</f>
        <v>80.563128323144127</v>
      </c>
      <c r="E31" s="106">
        <v>4</v>
      </c>
      <c r="F31" s="51">
        <f ca="1">SQRT((B31 - VLOOKUP(E31, $A$44:$D$48, 2, FALSE())) ^ 2 + (C31 - VLOOKUP(E31, $A$44:$D$48, 3, FALSE())) ^ 2)</f>
        <v>9.3624965124959374</v>
      </c>
      <c r="G31" s="86">
        <f ca="1">F31  / VLOOKUP(E31, $A$44:$E$48, 5, FALSE())</f>
        <v>0.69612045437686376</v>
      </c>
      <c r="H31"/>
      <c r="I31"/>
    </row>
    <row r="32" spans="1:9" ht="15.75">
      <c r="A32" s="27" t="s">
        <v>110</v>
      </c>
      <c r="B32" s="51">
        <f ca="1">MAX(VLOOKUP($E32,$A$36:$F$40,2,FALSE()) + VLOOKUP($E32,$A$36:$F$40,3,FALSE()) * _xlfn.NORM.S.INV(RAND()),0)</f>
        <v>35.069161971257977</v>
      </c>
      <c r="C32" s="51">
        <f ca="1">MAX(VLOOKUP($E32,$A$36:$F$40,4,FALSE()) + VLOOKUP($E32,$A$36:$F$40,5,FALSE()) * _xlfn.NORM.S.INV(RAND()),0)</f>
        <v>20.463324883618235</v>
      </c>
      <c r="D32" s="51">
        <f ca="1">SUM(B32:C32)</f>
        <v>55.532486854876211</v>
      </c>
      <c r="E32" s="106">
        <v>4</v>
      </c>
      <c r="F32" s="51">
        <f ca="1">SQRT((B32 - VLOOKUP(E32, $A$44:$D$48, 2, FALSE())) ^ 2 + (C32 - VLOOKUP(E32, $A$44:$D$48, 3, FALSE())) ^ 2)</f>
        <v>16.511582814400104</v>
      </c>
      <c r="G32" s="86">
        <f ca="1">F32  / VLOOKUP(E32, $A$44:$E$48, 5, FALSE())</f>
        <v>1.2276694059005027</v>
      </c>
      <c r="H32"/>
      <c r="I32"/>
    </row>
    <row r="33" spans="1:9" ht="16.5" thickBot="1">
      <c r="E33" s="48">
        <f>COUNT(E4:E32)</f>
        <v>26</v>
      </c>
      <c r="F33" s="85">
        <f ca="1">SUM(F3:F32)</f>
        <v>237.60326246831698</v>
      </c>
      <c r="G33" s="86"/>
      <c r="H33"/>
      <c r="I33"/>
    </row>
    <row r="34" spans="1:9" ht="16.5" thickTop="1">
      <c r="G34"/>
      <c r="H34"/>
      <c r="I34"/>
    </row>
    <row r="35" spans="1:9" ht="15.75">
      <c r="G35"/>
      <c r="H35"/>
      <c r="I35"/>
    </row>
    <row r="36" spans="1:9" ht="15.75">
      <c r="A36" s="27" t="s">
        <v>126</v>
      </c>
      <c r="B36" s="27" t="s">
        <v>55</v>
      </c>
      <c r="C36" s="27" t="s">
        <v>113</v>
      </c>
      <c r="D36" s="27" t="s">
        <v>114</v>
      </c>
      <c r="E36" s="27" t="s">
        <v>115</v>
      </c>
      <c r="F36" s="27" t="s">
        <v>112</v>
      </c>
      <c r="G36"/>
      <c r="H36"/>
      <c r="I36"/>
    </row>
    <row r="37" spans="1:9" ht="15.75">
      <c r="A37" s="4">
        <v>1</v>
      </c>
      <c r="B37" s="51">
        <v>60</v>
      </c>
      <c r="C37" s="51">
        <f>B37 * 10%</f>
        <v>6</v>
      </c>
      <c r="D37" s="51">
        <v>40</v>
      </c>
      <c r="E37" s="51">
        <f>D37 * 10%</f>
        <v>4</v>
      </c>
      <c r="F37" s="3">
        <f>COUNTIF($E$4:$E$32,$A37)</f>
        <v>7</v>
      </c>
      <c r="G37"/>
      <c r="H37"/>
      <c r="I37"/>
    </row>
    <row r="38" spans="1:9" ht="15.75">
      <c r="A38" s="4">
        <v>2</v>
      </c>
      <c r="B38" s="51">
        <v>30</v>
      </c>
      <c r="C38" s="51">
        <f>B38 * 20%</f>
        <v>6</v>
      </c>
      <c r="D38" s="51">
        <v>70</v>
      </c>
      <c r="E38" s="51">
        <f>D38 * 20%</f>
        <v>14</v>
      </c>
      <c r="F38" s="3">
        <f>COUNTIF($E$4:$E$32,$A38)</f>
        <v>7</v>
      </c>
      <c r="G38"/>
      <c r="H38"/>
      <c r="I38"/>
    </row>
    <row r="39" spans="1:9" ht="15.75">
      <c r="A39" s="4">
        <v>3</v>
      </c>
      <c r="B39" s="51">
        <v>35</v>
      </c>
      <c r="C39" s="51">
        <f>B39 * 15%</f>
        <v>5.25</v>
      </c>
      <c r="D39" s="51">
        <v>15</v>
      </c>
      <c r="E39" s="51">
        <f>D39 * 15%</f>
        <v>2.25</v>
      </c>
      <c r="F39" s="3">
        <f>COUNTIF($E$4:$E$32,$A39)</f>
        <v>7</v>
      </c>
      <c r="G39"/>
      <c r="H39"/>
      <c r="I39"/>
    </row>
    <row r="40" spans="1:9" ht="15.75">
      <c r="A40" s="4">
        <v>4</v>
      </c>
      <c r="B40" s="51">
        <f>AVERAGE(B37:B39)</f>
        <v>41.666666666666664</v>
      </c>
      <c r="C40" s="51">
        <f>B40 * 40%</f>
        <v>16.666666666666668</v>
      </c>
      <c r="D40" s="51">
        <f>AVERAGE(D37:D39)</f>
        <v>41.666666666666664</v>
      </c>
      <c r="E40" s="51">
        <f>D40 * 40%</f>
        <v>16.666666666666668</v>
      </c>
      <c r="F40" s="3">
        <f>COUNTIF($E$4:$E$32,$A40)</f>
        <v>5</v>
      </c>
      <c r="G40"/>
      <c r="H40"/>
      <c r="I40"/>
    </row>
    <row r="41" spans="1:9" ht="16.5" thickBot="1">
      <c r="F41" s="48">
        <f>SUM(F37:F40)</f>
        <v>26</v>
      </c>
      <c r="G41"/>
      <c r="H41"/>
      <c r="I41"/>
    </row>
    <row r="42" spans="1:9" ht="16.5" thickTop="1">
      <c r="G42"/>
      <c r="H42"/>
      <c r="I42"/>
    </row>
    <row r="43" spans="1:9" ht="16.5">
      <c r="A43" s="84" t="s">
        <v>124</v>
      </c>
      <c r="C43" s="28" t="s">
        <v>130</v>
      </c>
      <c r="D43" s="31" t="s">
        <v>184</v>
      </c>
      <c r="G43"/>
      <c r="H43"/>
      <c r="I43"/>
    </row>
    <row r="44" spans="1:9" ht="33">
      <c r="A44" s="83" t="s">
        <v>127</v>
      </c>
      <c r="B44" s="83" t="s">
        <v>55</v>
      </c>
      <c r="C44" s="83" t="s">
        <v>114</v>
      </c>
      <c r="D44" s="83" t="s">
        <v>54</v>
      </c>
      <c r="E44" s="29" t="s">
        <v>128</v>
      </c>
      <c r="F44" s="29" t="s">
        <v>160</v>
      </c>
      <c r="G44"/>
      <c r="H44"/>
      <c r="I44"/>
    </row>
    <row r="45" spans="1:9" ht="15.75">
      <c r="A45" s="4">
        <v>1</v>
      </c>
      <c r="B45" s="51">
        <f ca="1">AVERAGE($B$4:$B$10)</f>
        <v>61.629057437726601</v>
      </c>
      <c r="C45" s="51">
        <f ca="1">AVERAGE($C$4:$C$10)</f>
        <v>37.54118701468029</v>
      </c>
      <c r="D45" s="51">
        <f ca="1">SUM(B45:C45)</f>
        <v>99.170244452406891</v>
      </c>
      <c r="E45" s="51">
        <f ca="1">AVERAGEIF($E$3:$E$32,A45,$F$3:$F$32)</f>
        <v>4.3502113212899731</v>
      </c>
      <c r="F45" s="51">
        <f ca="1">SQRT(SUMXMY2(B45:C45,B$49:C$49))</f>
        <v>21.479849332426337</v>
      </c>
      <c r="G45"/>
      <c r="H45"/>
      <c r="I45"/>
    </row>
    <row r="46" spans="1:9" ht="15.75">
      <c r="A46" s="4">
        <v>2</v>
      </c>
      <c r="B46" s="51">
        <f ca="1">AVERAGE($B$12:$B$18)</f>
        <v>28.551908713818332</v>
      </c>
      <c r="C46" s="51">
        <f ca="1">AVERAGE($C$12:$C$18)</f>
        <v>70.691559927497366</v>
      </c>
      <c r="D46" s="51">
        <f ca="1">SUM(B46:C46)</f>
        <v>99.243468641315701</v>
      </c>
      <c r="E46" s="51">
        <f ca="1">AVERAGEIF($E$3:$E$32,A46,$F$3:$F$32)</f>
        <v>15.832453512069407</v>
      </c>
      <c r="F46" s="51">
        <f t="shared" ref="F46:F48" ca="1" si="13">SQRT(SUMXMY2(B46:C46,B$49:C$49))</f>
        <v>32.935756162198686</v>
      </c>
      <c r="G46"/>
      <c r="H46"/>
      <c r="I46"/>
    </row>
    <row r="47" spans="1:9" ht="15.75">
      <c r="A47" s="4">
        <v>3</v>
      </c>
      <c r="B47" s="51">
        <f ca="1">AVERAGE($B$20:$B$26)</f>
        <v>37.014673432347024</v>
      </c>
      <c r="C47" s="51">
        <f ca="1">AVERAGE($C$20:$C$26)</f>
        <v>13.909400524509218</v>
      </c>
      <c r="D47" s="51">
        <f ca="1">SUM(B47:C47)</f>
        <v>50.92407395685624</v>
      </c>
      <c r="E47" s="51">
        <f ca="1">AVERAGEIF($E$3:$E$32,A47,$F$3:$F$32)</f>
        <v>4.1538475624412374</v>
      </c>
      <c r="F47" s="51">
        <f t="shared" ca="1" si="13"/>
        <v>26.209879697639913</v>
      </c>
      <c r="G47"/>
      <c r="H47"/>
      <c r="I47"/>
    </row>
    <row r="48" spans="1:9" ht="15.75">
      <c r="A48" s="4">
        <v>4</v>
      </c>
      <c r="B48" s="51">
        <f ca="1">AVERAGE($B$28:$B$32)</f>
        <v>31.386152364581609</v>
      </c>
      <c r="C48" s="51">
        <f ca="1">AVERAGE($C$28:$C$32)</f>
        <v>36.558908354680177</v>
      </c>
      <c r="D48" s="51">
        <f ca="1">SUM(B48:C48)</f>
        <v>67.945060719261789</v>
      </c>
      <c r="E48" s="51">
        <f ca="1">AVERAGEIF($E$3:$E$32,A48,$F$3:$F$32)</f>
        <v>13.449535139542524</v>
      </c>
      <c r="F48" s="51">
        <f t="shared" ca="1" si="13"/>
        <v>9.5067141444813661</v>
      </c>
      <c r="G48"/>
      <c r="H48"/>
      <c r="I48"/>
    </row>
    <row r="49" spans="1:9" ht="15.75">
      <c r="A49" s="4" t="s">
        <v>185</v>
      </c>
      <c r="B49" s="51">
        <f ca="1">AVERAGE(B3:B32)</f>
        <v>40.280778419621214</v>
      </c>
      <c r="C49" s="51">
        <f ca="1">AVERAGE(C3:C32)</f>
        <v>39.91498361693111</v>
      </c>
      <c r="D49" s="51">
        <f ca="1">SUM(B49:C49)</f>
        <v>80.195762036552324</v>
      </c>
      <c r="E49" s="51">
        <f>AVERAGE(E3:E32)</f>
        <v>2.3846153846153846</v>
      </c>
      <c r="G49"/>
      <c r="H49"/>
      <c r="I49"/>
    </row>
    <row r="50" spans="1:9" ht="15.75">
      <c r="G50"/>
      <c r="H50"/>
      <c r="I50"/>
    </row>
    <row r="51" spans="1:9" ht="16.5">
      <c r="A51" s="84" t="s">
        <v>125</v>
      </c>
      <c r="G51"/>
      <c r="H51"/>
      <c r="I51"/>
    </row>
    <row r="52" spans="1:9" ht="16.5">
      <c r="A52" s="83" t="s">
        <v>122</v>
      </c>
      <c r="B52" s="29" t="s">
        <v>123</v>
      </c>
      <c r="C52" s="29" t="s">
        <v>91</v>
      </c>
      <c r="D52" s="29" t="s">
        <v>94</v>
      </c>
      <c r="E52" s="29" t="s">
        <v>120</v>
      </c>
      <c r="F52" s="29" t="s">
        <v>121</v>
      </c>
    </row>
    <row r="53" spans="1:9">
      <c r="A53" s="27" t="s">
        <v>13</v>
      </c>
      <c r="B53" s="27" t="s">
        <v>9</v>
      </c>
      <c r="C53" s="51">
        <f ca="1">SUMXMY2(OFFSET(A$2:$A$32,E53-1,1,1,2), OFFSET($A$2:B$32,F53-1,1,1,2))</f>
        <v>188.68353436321715</v>
      </c>
      <c r="D53" s="51">
        <f ca="1">SQRT(C53)</f>
        <v>13.736212518857487</v>
      </c>
      <c r="E53" s="3">
        <f>MATCH(A53,$A$2:$A$32,0)</f>
        <v>3</v>
      </c>
      <c r="F53" s="3">
        <f>MATCH(B53,$A$2:$A$32,0)</f>
        <v>4</v>
      </c>
    </row>
    <row r="54" spans="1:9" ht="15.75">
      <c r="A54" s="27" t="s">
        <v>13</v>
      </c>
      <c r="B54" s="27" t="s">
        <v>14</v>
      </c>
      <c r="C54" s="51">
        <f ca="1">SUMXMY2(OFFSET(A$2:$A$32,E54-1,1,1,2), OFFSET($A$2:B$32,F54-1,1,1,2))</f>
        <v>45.115261221750529</v>
      </c>
      <c r="D54" s="51">
        <f t="shared" ref="D54:D73" ca="1" si="14">SQRT(C54)</f>
        <v>6.7167895025637456</v>
      </c>
      <c r="E54" s="3">
        <f t="shared" ref="E54:E73" si="15">MATCH(A54,$A$2:$A$32,0)</f>
        <v>3</v>
      </c>
      <c r="F54" s="3">
        <f t="shared" ref="F54:F73" si="16">MATCH(B54,$A$2:$A$32,0)</f>
        <v>5</v>
      </c>
      <c r="G54"/>
      <c r="H54"/>
      <c r="I54"/>
    </row>
    <row r="55" spans="1:9" ht="15.75">
      <c r="A55" s="27" t="s">
        <v>13</v>
      </c>
      <c r="B55" s="27" t="s">
        <v>15</v>
      </c>
      <c r="C55" s="51">
        <f ca="1">SUMXMY2(OFFSET(A$2:$A$32,E55-1,1,1,2), OFFSET($A$2:B$32,F55-1,1,1,2))</f>
        <v>28.032658809976333</v>
      </c>
      <c r="D55" s="51">
        <f t="shared" ca="1" si="14"/>
        <v>5.2945876902716735</v>
      </c>
      <c r="E55" s="3">
        <f t="shared" si="15"/>
        <v>3</v>
      </c>
      <c r="F55" s="3">
        <f t="shared" si="16"/>
        <v>6</v>
      </c>
      <c r="G55"/>
      <c r="H55"/>
      <c r="I55"/>
    </row>
    <row r="56" spans="1:9" ht="15.75">
      <c r="A56" s="27" t="s">
        <v>13</v>
      </c>
      <c r="B56" s="27" t="s">
        <v>16</v>
      </c>
      <c r="C56" s="51">
        <f ca="1">SUMXMY2(OFFSET(A$2:$A$32,E56-1,1,1,2), OFFSET($A$2:B$32,F56-1,1,1,2))</f>
        <v>37.199673047814059</v>
      </c>
      <c r="D56" s="51">
        <f t="shared" ca="1" si="14"/>
        <v>6.0991534697705436</v>
      </c>
      <c r="E56" s="3">
        <f t="shared" si="15"/>
        <v>3</v>
      </c>
      <c r="F56" s="3">
        <f t="shared" si="16"/>
        <v>7</v>
      </c>
      <c r="G56"/>
      <c r="H56"/>
      <c r="I56"/>
    </row>
    <row r="57" spans="1:9" ht="15.75">
      <c r="A57" s="27" t="s">
        <v>13</v>
      </c>
      <c r="B57" s="27" t="s">
        <v>17</v>
      </c>
      <c r="C57" s="51">
        <f ca="1">SUMXMY2(OFFSET(A$2:$A$32,E57-1,1,1,2), OFFSET($A$2:B$32,F57-1,1,1,2))</f>
        <v>208.48537681424816</v>
      </c>
      <c r="D57" s="51">
        <f t="shared" ca="1" si="14"/>
        <v>14.439022709804433</v>
      </c>
      <c r="E57" s="3">
        <f t="shared" si="15"/>
        <v>3</v>
      </c>
      <c r="F57" s="3">
        <f t="shared" si="16"/>
        <v>8</v>
      </c>
      <c r="G57"/>
      <c r="H57"/>
      <c r="I57"/>
    </row>
    <row r="58" spans="1:9" ht="15.75">
      <c r="A58" s="27" t="s">
        <v>13</v>
      </c>
      <c r="B58" s="27" t="s">
        <v>8</v>
      </c>
      <c r="C58" s="51">
        <f ca="1">SUMXMY2(OFFSET(A$2:$A$32,E58-1,1,1,2), OFFSET($A$2:B$32,F58-1,1,1,2))</f>
        <v>75.350548349606882</v>
      </c>
      <c r="D58" s="51">
        <f t="shared" ca="1" si="14"/>
        <v>8.6804693622872069</v>
      </c>
      <c r="E58" s="3">
        <f t="shared" si="15"/>
        <v>3</v>
      </c>
      <c r="F58" s="3">
        <f t="shared" si="16"/>
        <v>9</v>
      </c>
      <c r="G58"/>
      <c r="H58"/>
      <c r="I58"/>
    </row>
    <row r="59" spans="1:9" ht="15.75">
      <c r="A59" s="27" t="s">
        <v>9</v>
      </c>
      <c r="B59" s="27" t="s">
        <v>14</v>
      </c>
      <c r="C59" s="51">
        <f ca="1">SUMXMY2(OFFSET(A$2:$A$32,E59-1,1,1,2), OFFSET($A$2:B$32,F59-1,1,1,2))</f>
        <v>63.023503042752765</v>
      </c>
      <c r="D59" s="51">
        <f t="shared" ca="1" si="14"/>
        <v>7.9387343476622751</v>
      </c>
      <c r="E59" s="3">
        <f t="shared" si="15"/>
        <v>4</v>
      </c>
      <c r="F59" s="3">
        <f t="shared" si="16"/>
        <v>5</v>
      </c>
      <c r="G59"/>
      <c r="H59"/>
      <c r="I59"/>
    </row>
    <row r="60" spans="1:9" ht="15.75">
      <c r="A60" s="27" t="s">
        <v>9</v>
      </c>
      <c r="B60" s="27" t="s">
        <v>15</v>
      </c>
      <c r="C60" s="51">
        <f ca="1">SUMXMY2(OFFSET(A$2:$A$32,E60-1,1,1,2), OFFSET($A$2:B$32,F60-1,1,1,2))</f>
        <v>72.290731399971605</v>
      </c>
      <c r="D60" s="51">
        <f t="shared" ca="1" si="14"/>
        <v>8.5023956271142556</v>
      </c>
      <c r="E60" s="3">
        <f t="shared" si="15"/>
        <v>4</v>
      </c>
      <c r="F60" s="3">
        <f t="shared" si="16"/>
        <v>6</v>
      </c>
      <c r="G60"/>
      <c r="H60"/>
      <c r="I60"/>
    </row>
    <row r="61" spans="1:9" ht="15.75">
      <c r="A61" s="27" t="s">
        <v>9</v>
      </c>
      <c r="B61" s="27" t="s">
        <v>16</v>
      </c>
      <c r="C61" s="51">
        <f ca="1">SUMXMY2(OFFSET(A$2:$A$32,E61-1,1,1,2), OFFSET($A$2:B$32,F61-1,1,1,2))</f>
        <v>92.506969238848754</v>
      </c>
      <c r="D61" s="51">
        <f t="shared" ca="1" si="14"/>
        <v>9.6180543374868055</v>
      </c>
      <c r="E61" s="3">
        <f t="shared" si="15"/>
        <v>4</v>
      </c>
      <c r="F61" s="3">
        <f t="shared" si="16"/>
        <v>7</v>
      </c>
      <c r="G61"/>
      <c r="H61"/>
      <c r="I61"/>
    </row>
    <row r="62" spans="1:9" ht="15.75">
      <c r="A62" s="27" t="s">
        <v>9</v>
      </c>
      <c r="B62" s="27" t="s">
        <v>17</v>
      </c>
      <c r="C62" s="51">
        <f ca="1">SUMXMY2(OFFSET(A$2:$A$32,E62-1,1,1,2), OFFSET($A$2:B$32,F62-1,1,1,2))</f>
        <v>24.926950447186929</v>
      </c>
      <c r="D62" s="51">
        <f t="shared" ca="1" si="14"/>
        <v>4.9926897006710647</v>
      </c>
      <c r="E62" s="3">
        <f t="shared" si="15"/>
        <v>4</v>
      </c>
      <c r="F62" s="3">
        <f t="shared" si="16"/>
        <v>8</v>
      </c>
      <c r="G62"/>
      <c r="H62"/>
      <c r="I62"/>
    </row>
    <row r="63" spans="1:9" ht="15.75">
      <c r="A63" s="27" t="s">
        <v>9</v>
      </c>
      <c r="B63" s="27" t="s">
        <v>8</v>
      </c>
      <c r="C63" s="51">
        <f ca="1">SUMXMY2(OFFSET(A$2:$A$32,E63-1,1,1,2), OFFSET($A$2:B$32,F63-1,1,1,2))</f>
        <v>26.985812318985619</v>
      </c>
      <c r="D63" s="51">
        <f t="shared" ca="1" si="14"/>
        <v>5.1947870330732151</v>
      </c>
      <c r="E63" s="3">
        <f t="shared" si="15"/>
        <v>4</v>
      </c>
      <c r="F63" s="3">
        <f t="shared" si="16"/>
        <v>9</v>
      </c>
      <c r="G63"/>
      <c r="H63"/>
      <c r="I63"/>
    </row>
    <row r="64" spans="1:9" ht="15.75">
      <c r="A64" s="27" t="s">
        <v>14</v>
      </c>
      <c r="B64" s="27" t="s">
        <v>15</v>
      </c>
      <c r="C64" s="51">
        <f ca="1">SUMXMY2(OFFSET(A$2:$A$32,E64-1,1,1,2), OFFSET($A$2:B$32,F64-1,1,1,2))</f>
        <v>10.989159628864606</v>
      </c>
      <c r="D64" s="51">
        <f t="shared" ca="1" si="14"/>
        <v>3.314990140085579</v>
      </c>
      <c r="E64" s="3">
        <f t="shared" si="15"/>
        <v>5</v>
      </c>
      <c r="F64" s="3">
        <f t="shared" si="16"/>
        <v>6</v>
      </c>
      <c r="G64"/>
      <c r="H64"/>
      <c r="I64"/>
    </row>
    <row r="65" spans="1:9" ht="15.75">
      <c r="A65" s="27" t="s">
        <v>14</v>
      </c>
      <c r="B65" s="27" t="s">
        <v>16</v>
      </c>
      <c r="C65" s="51">
        <f ca="1">SUMXMY2(OFFSET(A$2:$A$32,E65-1,1,1,2), OFFSET($A$2:B$32,F65-1,1,1,2))</f>
        <v>3.1699594467676908</v>
      </c>
      <c r="D65" s="51">
        <f t="shared" ca="1" si="14"/>
        <v>1.7804379929578258</v>
      </c>
      <c r="E65" s="3">
        <f t="shared" si="15"/>
        <v>5</v>
      </c>
      <c r="F65" s="3">
        <f t="shared" si="16"/>
        <v>7</v>
      </c>
      <c r="G65"/>
      <c r="H65"/>
      <c r="I65"/>
    </row>
    <row r="66" spans="1:9" ht="15.75">
      <c r="A66" s="27" t="s">
        <v>14</v>
      </c>
      <c r="B66" s="27" t="s">
        <v>17</v>
      </c>
      <c r="C66" s="51">
        <f ca="1">SUMXMY2(OFFSET(A$2:$A$32,E66-1,1,1,2), OFFSET($A$2:B$32,F66-1,1,1,2))</f>
        <v>59.756406080002712</v>
      </c>
      <c r="D66" s="51">
        <f t="shared" ca="1" si="14"/>
        <v>7.7302267806321643</v>
      </c>
      <c r="E66" s="3">
        <f t="shared" si="15"/>
        <v>5</v>
      </c>
      <c r="F66" s="3">
        <f t="shared" si="16"/>
        <v>8</v>
      </c>
      <c r="G66"/>
      <c r="H66"/>
      <c r="I66"/>
    </row>
    <row r="67" spans="1:9" ht="15.75">
      <c r="A67" s="27" t="s">
        <v>14</v>
      </c>
      <c r="B67" s="27" t="s">
        <v>8</v>
      </c>
      <c r="C67" s="51">
        <f ca="1">SUMXMY2(OFFSET(A$2:$A$32,E67-1,1,1,2), OFFSET($A$2:B$32,F67-1,1,1,2))</f>
        <v>8.3688455802812403</v>
      </c>
      <c r="D67" s="51">
        <f t="shared" ca="1" si="14"/>
        <v>2.8928957085040659</v>
      </c>
      <c r="E67" s="3">
        <f t="shared" si="15"/>
        <v>5</v>
      </c>
      <c r="F67" s="3">
        <f t="shared" si="16"/>
        <v>9</v>
      </c>
      <c r="G67"/>
      <c r="H67"/>
      <c r="I67"/>
    </row>
    <row r="68" spans="1:9" ht="15.75">
      <c r="A68" s="27" t="s">
        <v>15</v>
      </c>
      <c r="B68" s="27" t="s">
        <v>16</v>
      </c>
      <c r="C68" s="51">
        <f ca="1">SUMXMY2(OFFSET(A$2:$A$32,E68-1,1,1,2), OFFSET($A$2:B$32,F68-1,1,1,2))</f>
        <v>18.830163166265319</v>
      </c>
      <c r="D68" s="51">
        <f t="shared" ca="1" si="14"/>
        <v>4.3393735914605598</v>
      </c>
      <c r="E68" s="3">
        <f t="shared" si="15"/>
        <v>6</v>
      </c>
      <c r="F68" s="3">
        <f t="shared" si="16"/>
        <v>7</v>
      </c>
      <c r="G68"/>
      <c r="H68"/>
      <c r="I68"/>
    </row>
    <row r="69" spans="1:9" ht="15.75">
      <c r="A69" s="27" t="s">
        <v>15</v>
      </c>
      <c r="B69" s="27" t="s">
        <v>17</v>
      </c>
      <c r="C69" s="51">
        <f ca="1">SUMXMY2(OFFSET(A$2:$A$32,E69-1,1,1,2), OFFSET($A$2:B$32,F69-1,1,1,2))</f>
        <v>100.32927652528184</v>
      </c>
      <c r="D69" s="51">
        <f t="shared" ca="1" si="14"/>
        <v>10.016450295652739</v>
      </c>
      <c r="E69" s="3">
        <f t="shared" si="15"/>
        <v>6</v>
      </c>
      <c r="F69" s="3">
        <f t="shared" si="16"/>
        <v>8</v>
      </c>
      <c r="G69"/>
      <c r="H69"/>
      <c r="I69"/>
    </row>
    <row r="70" spans="1:9" ht="15.75">
      <c r="A70" s="27" t="s">
        <v>15</v>
      </c>
      <c r="B70" s="27" t="s">
        <v>8</v>
      </c>
      <c r="C70" s="51">
        <f ca="1">SUMXMY2(OFFSET(A$2:$A$32,E70-1,1,1,2), OFFSET($A$2:B$32,F70-1,1,1,2))</f>
        <v>13.852272288562117</v>
      </c>
      <c r="D70" s="51">
        <f t="shared" ca="1" si="14"/>
        <v>3.7218640878680831</v>
      </c>
      <c r="E70" s="3">
        <f t="shared" si="15"/>
        <v>6</v>
      </c>
      <c r="F70" s="3">
        <f t="shared" si="16"/>
        <v>9</v>
      </c>
      <c r="G70"/>
      <c r="H70"/>
      <c r="I70"/>
    </row>
    <row r="71" spans="1:9" ht="15.75">
      <c r="A71" s="27" t="s">
        <v>16</v>
      </c>
      <c r="B71" s="27" t="s">
        <v>17</v>
      </c>
      <c r="C71" s="51">
        <f ca="1">SUMXMY2(OFFSET(A$2:$A$32,E71-1,1,1,2), OFFSET($A$2:B$32,F71-1,1,1,2))</f>
        <v>77.281804109235594</v>
      </c>
      <c r="D71" s="51">
        <f t="shared" ca="1" si="14"/>
        <v>8.7910070020012832</v>
      </c>
      <c r="E71" s="3">
        <f t="shared" si="15"/>
        <v>7</v>
      </c>
      <c r="F71" s="3">
        <f t="shared" si="16"/>
        <v>8</v>
      </c>
      <c r="G71"/>
      <c r="H71"/>
      <c r="I71"/>
    </row>
    <row r="72" spans="1:9" ht="15.75">
      <c r="A72" s="27" t="s">
        <v>16</v>
      </c>
      <c r="B72" s="27" t="s">
        <v>8</v>
      </c>
      <c r="C72" s="51">
        <f ca="1">SUMXMY2(OFFSET(A$2:$A$32,E72-1,1,1,2), OFFSET($A$2:B$32,F72-1,1,1,2))</f>
        <v>21.771194799136296</v>
      </c>
      <c r="D72" s="51">
        <f t="shared" ca="1" si="14"/>
        <v>4.6659612942175483</v>
      </c>
      <c r="E72" s="3">
        <f t="shared" si="15"/>
        <v>7</v>
      </c>
      <c r="F72" s="3">
        <f t="shared" si="16"/>
        <v>9</v>
      </c>
      <c r="G72"/>
      <c r="H72"/>
      <c r="I72"/>
    </row>
    <row r="73" spans="1:9" ht="15.75">
      <c r="A73" s="27" t="s">
        <v>17</v>
      </c>
      <c r="B73" s="27" t="s">
        <v>8</v>
      </c>
      <c r="C73" s="51">
        <f ca="1">SUMXMY2(OFFSET(A$2:$A$32,E73-1,1,1,2), OFFSET($A$2:B$32,F73-1,1,1,2))</f>
        <v>40.551256307761626</v>
      </c>
      <c r="D73" s="51">
        <f t="shared" ca="1" si="14"/>
        <v>6.3679868331963148</v>
      </c>
      <c r="E73" s="3">
        <f t="shared" si="15"/>
        <v>8</v>
      </c>
      <c r="F73" s="3">
        <f t="shared" si="16"/>
        <v>9</v>
      </c>
      <c r="G73"/>
      <c r="H73"/>
      <c r="I73"/>
    </row>
    <row r="74" spans="1:9" ht="15.75">
      <c r="G74"/>
      <c r="H74"/>
      <c r="I74"/>
    </row>
    <row r="75" spans="1:9" ht="15.75">
      <c r="A75" s="27" t="s">
        <v>18</v>
      </c>
      <c r="B75" s="27" t="s">
        <v>19</v>
      </c>
      <c r="C75" s="51">
        <f ca="1">SUMXMY2(OFFSET(A$2:$A$32,E75-1,1,1,2), OFFSET($A$2:B$32,F75-1,1,1,2))</f>
        <v>306.32306508634093</v>
      </c>
      <c r="D75" s="51">
        <f ca="1">SQRT(C75)</f>
        <v>17.502087449397028</v>
      </c>
      <c r="E75" s="3">
        <f>MATCH(A75,$A$2:$A$32,0)</f>
        <v>11</v>
      </c>
      <c r="F75" s="3">
        <f>MATCH(B75,$A$2:$A$32,0)</f>
        <v>12</v>
      </c>
      <c r="G75"/>
      <c r="H75"/>
      <c r="I75"/>
    </row>
    <row r="76" spans="1:9" ht="15.75">
      <c r="A76" s="27" t="s">
        <v>18</v>
      </c>
      <c r="B76" s="27" t="s">
        <v>0</v>
      </c>
      <c r="C76" s="51">
        <f ca="1">SUMXMY2(OFFSET(A$2:$A$32,E76-1,1,1,2), OFFSET($A$2:B$32,F76-1,1,1,2))</f>
        <v>223.14062662559482</v>
      </c>
      <c r="D76" s="51">
        <f t="shared" ref="D76:D95" ca="1" si="17">SQRT(C76)</f>
        <v>14.937892308675773</v>
      </c>
      <c r="E76" s="3">
        <f t="shared" ref="E76:E95" si="18">MATCH(A76,$A$2:$A$32,0)</f>
        <v>11</v>
      </c>
      <c r="F76" s="3">
        <f t="shared" ref="F76:F95" si="19">MATCH(B76,$A$2:$A$32,0)</f>
        <v>13</v>
      </c>
      <c r="G76"/>
      <c r="H76"/>
      <c r="I76"/>
    </row>
    <row r="77" spans="1:9" ht="15.75">
      <c r="A77" s="27" t="s">
        <v>18</v>
      </c>
      <c r="B77" s="27" t="s">
        <v>1</v>
      </c>
      <c r="C77" s="51">
        <f ca="1">SUMXMY2(OFFSET(A$2:$A$32,E77-1,1,1,2), OFFSET($A$2:B$32,F77-1,1,1,2))</f>
        <v>32.794654071561936</v>
      </c>
      <c r="D77" s="51">
        <f t="shared" ca="1" si="17"/>
        <v>5.7266616864943174</v>
      </c>
      <c r="E77" s="3">
        <f t="shared" si="18"/>
        <v>11</v>
      </c>
      <c r="F77" s="3">
        <f t="shared" si="19"/>
        <v>14</v>
      </c>
      <c r="G77"/>
      <c r="H77"/>
      <c r="I77"/>
    </row>
    <row r="78" spans="1:9" ht="15.75">
      <c r="A78" s="27" t="s">
        <v>18</v>
      </c>
      <c r="B78" s="27" t="s">
        <v>2</v>
      </c>
      <c r="C78" s="51">
        <f ca="1">SUMXMY2(OFFSET(A$2:$A$32,E78-1,1,1,2), OFFSET($A$2:B$32,F78-1,1,1,2))</f>
        <v>856.43541721433735</v>
      </c>
      <c r="D78" s="51">
        <f t="shared" ca="1" si="17"/>
        <v>29.264917857638647</v>
      </c>
      <c r="E78" s="3">
        <f t="shared" si="18"/>
        <v>11</v>
      </c>
      <c r="F78" s="3">
        <f t="shared" si="19"/>
        <v>15</v>
      </c>
      <c r="G78"/>
      <c r="H78"/>
      <c r="I78"/>
    </row>
    <row r="79" spans="1:9" ht="15.75">
      <c r="A79" s="27" t="s">
        <v>18</v>
      </c>
      <c r="B79" s="27" t="s">
        <v>20</v>
      </c>
      <c r="C79" s="51">
        <f ca="1">SUMXMY2(OFFSET(A$2:$A$32,E79-1,1,1,2), OFFSET($A$2:B$32,F79-1,1,1,2))</f>
        <v>1041.4074680748492</v>
      </c>
      <c r="D79" s="51">
        <f t="shared" ca="1" si="17"/>
        <v>32.270845481252103</v>
      </c>
      <c r="E79" s="3">
        <f t="shared" si="18"/>
        <v>11</v>
      </c>
      <c r="F79" s="3">
        <f t="shared" si="19"/>
        <v>16</v>
      </c>
      <c r="G79"/>
      <c r="H79"/>
      <c r="I79"/>
    </row>
    <row r="80" spans="1:9" ht="15.75">
      <c r="A80" s="27" t="s">
        <v>18</v>
      </c>
      <c r="B80" s="27" t="s">
        <v>99</v>
      </c>
      <c r="C80" s="51">
        <f ca="1">SUMXMY2(OFFSET(A$2:$A$32,E80-1,1,1,2), OFFSET($A$2:B$32,F80-1,1,1,2))</f>
        <v>729.0246303050244</v>
      </c>
      <c r="D80" s="51">
        <f t="shared" ca="1" si="17"/>
        <v>27.000456112907138</v>
      </c>
      <c r="E80" s="3">
        <f t="shared" si="18"/>
        <v>11</v>
      </c>
      <c r="F80" s="3">
        <f t="shared" si="19"/>
        <v>17</v>
      </c>
      <c r="G80"/>
      <c r="H80"/>
      <c r="I80"/>
    </row>
    <row r="81" spans="1:9" ht="15.75">
      <c r="A81" s="27" t="s">
        <v>19</v>
      </c>
      <c r="B81" s="27" t="s">
        <v>0</v>
      </c>
      <c r="C81" s="51">
        <f ca="1">SUMXMY2(OFFSET(A$2:$A$32,E81-1,1,1,2), OFFSET($A$2:B$32,F81-1,1,1,2))</f>
        <v>946.0261511497348</v>
      </c>
      <c r="D81" s="51">
        <f t="shared" ca="1" si="17"/>
        <v>30.757538119129997</v>
      </c>
      <c r="E81" s="3">
        <f t="shared" si="18"/>
        <v>12</v>
      </c>
      <c r="F81" s="3">
        <f t="shared" si="19"/>
        <v>13</v>
      </c>
      <c r="G81"/>
      <c r="H81"/>
      <c r="I81"/>
    </row>
    <row r="82" spans="1:9" ht="15.75">
      <c r="A82" s="27" t="s">
        <v>19</v>
      </c>
      <c r="B82" s="27" t="s">
        <v>1</v>
      </c>
      <c r="C82" s="51">
        <f ca="1">SUMXMY2(OFFSET(A$2:$A$32,E82-1,1,1,2), OFFSET($A$2:B$32,F82-1,1,1,2))</f>
        <v>411.34163825887293</v>
      </c>
      <c r="D82" s="51">
        <f t="shared" ca="1" si="17"/>
        <v>20.281559068742052</v>
      </c>
      <c r="E82" s="3">
        <f t="shared" si="18"/>
        <v>12</v>
      </c>
      <c r="F82" s="3">
        <f t="shared" si="19"/>
        <v>14</v>
      </c>
      <c r="G82"/>
      <c r="H82"/>
      <c r="I82"/>
    </row>
    <row r="83" spans="1:9" ht="15.75">
      <c r="A83" s="27" t="s">
        <v>19</v>
      </c>
      <c r="B83" s="27" t="s">
        <v>2</v>
      </c>
      <c r="C83" s="51">
        <f ca="1">SUMXMY2(OFFSET(A$2:$A$32,E83-1,1,1,2), OFFSET($A$2:B$32,F83-1,1,1,2))</f>
        <v>211.72389204079727</v>
      </c>
      <c r="D83" s="51">
        <f t="shared" ca="1" si="17"/>
        <v>14.55073510310724</v>
      </c>
      <c r="E83" s="3">
        <f t="shared" si="18"/>
        <v>12</v>
      </c>
      <c r="F83" s="3">
        <f t="shared" si="19"/>
        <v>15</v>
      </c>
      <c r="G83"/>
      <c r="H83"/>
      <c r="I83"/>
    </row>
    <row r="84" spans="1:9" ht="15.75">
      <c r="A84" s="27" t="s">
        <v>19</v>
      </c>
      <c r="B84" s="27" t="s">
        <v>20</v>
      </c>
      <c r="C84" s="51">
        <f ca="1">SUMXMY2(OFFSET(A$2:$A$32,E84-1,1,1,2), OFFSET($A$2:B$32,F84-1,1,1,2))</f>
        <v>218.20187685704633</v>
      </c>
      <c r="D84" s="51">
        <f t="shared" ca="1" si="17"/>
        <v>14.771657891281071</v>
      </c>
      <c r="E84" s="3">
        <f t="shared" si="18"/>
        <v>12</v>
      </c>
      <c r="F84" s="3">
        <f t="shared" si="19"/>
        <v>16</v>
      </c>
      <c r="G84"/>
      <c r="H84"/>
      <c r="I84"/>
    </row>
    <row r="85" spans="1:9" ht="15.75">
      <c r="A85" s="27" t="s">
        <v>19</v>
      </c>
      <c r="B85" s="27" t="s">
        <v>99</v>
      </c>
      <c r="C85" s="51">
        <f ca="1">SUMXMY2(OFFSET(A$2:$A$32,E85-1,1,1,2), OFFSET($A$2:B$32,F85-1,1,1,2))</f>
        <v>105.54230994466396</v>
      </c>
      <c r="D85" s="51">
        <f t="shared" ca="1" si="17"/>
        <v>10.2733787015112</v>
      </c>
      <c r="E85" s="3">
        <f t="shared" si="18"/>
        <v>12</v>
      </c>
      <c r="F85" s="3">
        <f t="shared" si="19"/>
        <v>17</v>
      </c>
      <c r="G85"/>
      <c r="H85"/>
      <c r="I85"/>
    </row>
    <row r="86" spans="1:9" ht="15.75">
      <c r="A86" s="27" t="s">
        <v>0</v>
      </c>
      <c r="B86" s="27" t="s">
        <v>1</v>
      </c>
      <c r="C86" s="51">
        <f ca="1">SUMXMY2(OFFSET(A$2:$A$32,E86-1,1,1,2), OFFSET($A$2:B$32,F86-1,1,1,2))</f>
        <v>303.29352434369088</v>
      </c>
      <c r="D86" s="51">
        <f t="shared" ca="1" si="17"/>
        <v>17.415324411095273</v>
      </c>
      <c r="E86" s="3">
        <f t="shared" si="18"/>
        <v>13</v>
      </c>
      <c r="F86" s="3">
        <f t="shared" si="19"/>
        <v>14</v>
      </c>
      <c r="G86"/>
      <c r="H86"/>
      <c r="I86"/>
    </row>
    <row r="87" spans="1:9" ht="15.75">
      <c r="A87" s="27" t="s">
        <v>0</v>
      </c>
      <c r="B87" s="27" t="s">
        <v>2</v>
      </c>
      <c r="C87" s="51">
        <f ca="1">SUMXMY2(OFFSET(A$2:$A$32,E87-1,1,1,2), OFFSET($A$2:B$32,F87-1,1,1,2))</f>
        <v>1922.6066360023131</v>
      </c>
      <c r="D87" s="51">
        <f t="shared" ca="1" si="17"/>
        <v>43.847538539834972</v>
      </c>
      <c r="E87" s="3">
        <f t="shared" si="18"/>
        <v>13</v>
      </c>
      <c r="F87" s="3">
        <f t="shared" si="19"/>
        <v>15</v>
      </c>
      <c r="G87"/>
      <c r="H87"/>
      <c r="I87"/>
    </row>
    <row r="88" spans="1:9" ht="15.75">
      <c r="A88" s="27" t="s">
        <v>0</v>
      </c>
      <c r="B88" s="27" t="s">
        <v>20</v>
      </c>
      <c r="C88" s="51">
        <f ca="1">SUMXMY2(OFFSET(A$2:$A$32,E88-1,1,1,2), OFFSET($A$2:B$32,F88-1,1,1,2))</f>
        <v>2039.7360874043293</v>
      </c>
      <c r="D88" s="51">
        <f t="shared" ca="1" si="17"/>
        <v>45.163437506508835</v>
      </c>
      <c r="E88" s="3">
        <f t="shared" si="18"/>
        <v>13</v>
      </c>
      <c r="F88" s="3">
        <f t="shared" si="19"/>
        <v>16</v>
      </c>
      <c r="G88"/>
      <c r="H88"/>
      <c r="I88"/>
    </row>
    <row r="89" spans="1:9" ht="15.75">
      <c r="A89" s="27" t="s">
        <v>0</v>
      </c>
      <c r="B89" s="27" t="s">
        <v>99</v>
      </c>
      <c r="C89" s="51">
        <f ca="1">SUMXMY2(OFFSET(A$2:$A$32,E89-1,1,1,2), OFFSET($A$2:B$32,F89-1,1,1,2))</f>
        <v>1671.8181994720701</v>
      </c>
      <c r="D89" s="51">
        <f t="shared" ca="1" si="17"/>
        <v>40.887873501468256</v>
      </c>
      <c r="E89" s="3">
        <f t="shared" si="18"/>
        <v>13</v>
      </c>
      <c r="F89" s="3">
        <f t="shared" si="19"/>
        <v>17</v>
      </c>
      <c r="G89"/>
      <c r="H89"/>
      <c r="I89"/>
    </row>
    <row r="90" spans="1:9" ht="15.75">
      <c r="A90" s="27" t="s">
        <v>1</v>
      </c>
      <c r="B90" s="27" t="s">
        <v>2</v>
      </c>
      <c r="C90" s="51">
        <f ca="1">SUMXMY2(OFFSET(A$2:$A$32,E90-1,1,1,2), OFFSET($A$2:B$32,F90-1,1,1,2))</f>
        <v>885.15377731527553</v>
      </c>
      <c r="D90" s="51">
        <f t="shared" ca="1" si="17"/>
        <v>29.751534032975098</v>
      </c>
      <c r="E90" s="3">
        <f t="shared" si="18"/>
        <v>14</v>
      </c>
      <c r="F90" s="3">
        <f t="shared" si="19"/>
        <v>15</v>
      </c>
      <c r="G90"/>
      <c r="H90"/>
      <c r="I90"/>
    </row>
    <row r="91" spans="1:9" ht="15.75">
      <c r="A91" s="27" t="s">
        <v>1</v>
      </c>
      <c r="B91" s="27" t="s">
        <v>20</v>
      </c>
      <c r="C91" s="51">
        <f ca="1">SUMXMY2(OFFSET(A$2:$A$32,E91-1,1,1,2), OFFSET($A$2:B$32,F91-1,1,1,2))</f>
        <v>1203.1144710906945</v>
      </c>
      <c r="D91" s="51">
        <f t="shared" ca="1" si="17"/>
        <v>34.685940539225605</v>
      </c>
      <c r="E91" s="3">
        <f t="shared" si="18"/>
        <v>14</v>
      </c>
      <c r="F91" s="3">
        <f t="shared" si="19"/>
        <v>16</v>
      </c>
      <c r="G91"/>
      <c r="H91"/>
      <c r="I91"/>
    </row>
    <row r="92" spans="1:9" ht="15.75">
      <c r="A92" s="27" t="s">
        <v>1</v>
      </c>
      <c r="B92" s="27" t="s">
        <v>99</v>
      </c>
      <c r="C92" s="51">
        <f ca="1">SUMXMY2(OFFSET(A$2:$A$32,E92-1,1,1,2), OFFSET($A$2:B$32,F92-1,1,1,2))</f>
        <v>819.69731248879521</v>
      </c>
      <c r="D92" s="51">
        <f t="shared" ca="1" si="17"/>
        <v>28.630356485534637</v>
      </c>
      <c r="E92" s="3">
        <f t="shared" si="18"/>
        <v>14</v>
      </c>
      <c r="F92" s="3">
        <f t="shared" si="19"/>
        <v>17</v>
      </c>
      <c r="G92"/>
      <c r="H92"/>
      <c r="I92"/>
    </row>
    <row r="93" spans="1:9" ht="15.75">
      <c r="A93" s="27" t="s">
        <v>2</v>
      </c>
      <c r="B93" s="27" t="s">
        <v>20</v>
      </c>
      <c r="C93" s="51">
        <f ca="1">SUMXMY2(OFFSET(A$2:$A$32,E93-1,1,1,2), OFFSET($A$2:B$32,F93-1,1,1,2))</f>
        <v>135.7872256562749</v>
      </c>
      <c r="D93" s="51">
        <f t="shared" ca="1" si="17"/>
        <v>11.652777594044903</v>
      </c>
      <c r="E93" s="3">
        <f t="shared" si="18"/>
        <v>15</v>
      </c>
      <c r="F93" s="3">
        <f t="shared" si="19"/>
        <v>16</v>
      </c>
      <c r="G93"/>
      <c r="H93"/>
      <c r="I93"/>
    </row>
    <row r="94" spans="1:9" ht="15.75">
      <c r="A94" s="27" t="s">
        <v>2</v>
      </c>
      <c r="B94" s="27" t="s">
        <v>99</v>
      </c>
      <c r="C94" s="51">
        <f ca="1">SUMXMY2(OFFSET(A$2:$A$32,E94-1,1,1,2), OFFSET($A$2:B$32,F94-1,1,1,2))</f>
        <v>36.76474116059503</v>
      </c>
      <c r="D94" s="51">
        <f t="shared" ca="1" si="17"/>
        <v>6.0633935350259947</v>
      </c>
      <c r="E94" s="3">
        <f t="shared" si="18"/>
        <v>15</v>
      </c>
      <c r="F94" s="3">
        <f t="shared" si="19"/>
        <v>17</v>
      </c>
      <c r="G94"/>
      <c r="H94"/>
      <c r="I94"/>
    </row>
    <row r="95" spans="1:9" ht="15.75">
      <c r="A95" s="27" t="s">
        <v>20</v>
      </c>
      <c r="B95" s="27" t="s">
        <v>99</v>
      </c>
      <c r="C95" s="51">
        <f ca="1">SUMXMY2(OFFSET(A$2:$A$32,E95-1,1,1,2), OFFSET($A$2:B$32,F95-1,1,1,2))</f>
        <v>52.311729436902155</v>
      </c>
      <c r="D95" s="51">
        <f t="shared" ca="1" si="17"/>
        <v>7.2326848014345373</v>
      </c>
      <c r="E95" s="3">
        <f t="shared" si="18"/>
        <v>16</v>
      </c>
      <c r="F95" s="3">
        <f t="shared" si="19"/>
        <v>17</v>
      </c>
      <c r="G95"/>
      <c r="H95"/>
      <c r="I95"/>
    </row>
    <row r="96" spans="1:9" ht="15.75">
      <c r="G96"/>
      <c r="H96"/>
      <c r="I96"/>
    </row>
    <row r="97" spans="1:9" ht="15.75">
      <c r="A97" s="27" t="s">
        <v>100</v>
      </c>
      <c r="B97" s="27" t="s">
        <v>101</v>
      </c>
      <c r="C97" s="51">
        <f ca="1">SUMXMY2(OFFSET(A$2:$A$32,E97-1,1,1,2), OFFSET($A$2:B$32,F97-1,1,1,2))</f>
        <v>66.778680228832727</v>
      </c>
      <c r="D97" s="51">
        <f ca="1">SQRT(C97)</f>
        <v>8.1718223321871566</v>
      </c>
      <c r="E97" s="3">
        <f>MATCH(A97,$A$2:$A$32,0)</f>
        <v>19</v>
      </c>
      <c r="F97" s="3">
        <f>MATCH(B97,$A$2:$A$32,0)</f>
        <v>20</v>
      </c>
      <c r="G97"/>
      <c r="H97"/>
      <c r="I97"/>
    </row>
    <row r="98" spans="1:9" ht="15.75">
      <c r="A98" s="27" t="s">
        <v>100</v>
      </c>
      <c r="B98" s="27" t="s">
        <v>102</v>
      </c>
      <c r="C98" s="51">
        <f ca="1">SUMXMY2(OFFSET(A$2:$A$32,E98-1,1,1,2), OFFSET($A$2:B$32,F98-1,1,1,2))</f>
        <v>139.93046514574797</v>
      </c>
      <c r="D98" s="51">
        <f t="shared" ref="D98:D128" ca="1" si="20">SQRT(C98)</f>
        <v>11.829220817355131</v>
      </c>
      <c r="E98" s="3">
        <f t="shared" ref="E98:E117" si="21">MATCH(A98,$A$2:$A$32,0)</f>
        <v>19</v>
      </c>
      <c r="F98" s="3">
        <f t="shared" ref="F98:F117" si="22">MATCH(B98,$A$2:$A$32,0)</f>
        <v>21</v>
      </c>
      <c r="G98"/>
      <c r="H98"/>
      <c r="I98"/>
    </row>
    <row r="99" spans="1:9" ht="15.75">
      <c r="A99" s="27" t="s">
        <v>100</v>
      </c>
      <c r="B99" s="27" t="s">
        <v>7</v>
      </c>
      <c r="C99" s="51">
        <f ca="1">SUMXMY2(OFFSET(A$2:$A$32,E99-1,1,1,2), OFFSET($A$2:B$32,F99-1,1,1,2))</f>
        <v>245.71367042146011</v>
      </c>
      <c r="D99" s="51">
        <f t="shared" ca="1" si="20"/>
        <v>15.675256630162714</v>
      </c>
      <c r="E99" s="3">
        <f t="shared" si="21"/>
        <v>19</v>
      </c>
      <c r="F99" s="3">
        <f t="shared" si="22"/>
        <v>22</v>
      </c>
      <c r="G99"/>
      <c r="H99"/>
      <c r="I99"/>
    </row>
    <row r="100" spans="1:9" ht="15.75">
      <c r="A100" s="27" t="s">
        <v>100</v>
      </c>
      <c r="B100" s="27" t="s">
        <v>103</v>
      </c>
      <c r="C100" s="51">
        <f ca="1">SUMXMY2(OFFSET(A$2:$A$32,E100-1,1,1,2), OFFSET($A$2:B$32,F100-1,1,1,2))</f>
        <v>97.663014743681174</v>
      </c>
      <c r="D100" s="51">
        <f t="shared" ca="1" si="20"/>
        <v>9.882459954064128</v>
      </c>
      <c r="E100" s="3">
        <f t="shared" si="21"/>
        <v>19</v>
      </c>
      <c r="F100" s="3">
        <f t="shared" si="22"/>
        <v>23</v>
      </c>
      <c r="G100"/>
      <c r="H100"/>
      <c r="I100"/>
    </row>
    <row r="101" spans="1:9" ht="15.75">
      <c r="A101" s="27" t="s">
        <v>100</v>
      </c>
      <c r="B101" s="27" t="s">
        <v>104</v>
      </c>
      <c r="C101" s="51">
        <f ca="1">SUMXMY2(OFFSET(A$2:$A$32,E101-1,1,1,2), OFFSET($A$2:B$32,F101-1,1,1,2))</f>
        <v>232.08642649382773</v>
      </c>
      <c r="D101" s="51">
        <f t="shared" ca="1" si="20"/>
        <v>15.234383036205561</v>
      </c>
      <c r="E101" s="3">
        <f t="shared" si="21"/>
        <v>19</v>
      </c>
      <c r="F101" s="3">
        <f t="shared" si="22"/>
        <v>24</v>
      </c>
      <c r="G101"/>
      <c r="H101"/>
      <c r="I101"/>
    </row>
    <row r="102" spans="1:9" ht="15.75">
      <c r="A102" s="27" t="s">
        <v>100</v>
      </c>
      <c r="B102" s="27" t="s">
        <v>105</v>
      </c>
      <c r="C102" s="51">
        <f ca="1">SUMXMY2(OFFSET(A$2:$A$32,E102-1,1,1,2), OFFSET($A$2:B$32,F102-1,1,1,2))</f>
        <v>72.996659270335428</v>
      </c>
      <c r="D102" s="51">
        <f t="shared" ca="1" si="20"/>
        <v>8.5438082416645695</v>
      </c>
      <c r="E102" s="3">
        <f t="shared" si="21"/>
        <v>19</v>
      </c>
      <c r="F102" s="3">
        <f t="shared" si="22"/>
        <v>25</v>
      </c>
      <c r="G102"/>
      <c r="H102"/>
      <c r="I102"/>
    </row>
    <row r="103" spans="1:9" ht="15.75">
      <c r="A103" s="27" t="s">
        <v>101</v>
      </c>
      <c r="B103" s="27" t="s">
        <v>102</v>
      </c>
      <c r="C103" s="51">
        <f ca="1">SUMXMY2(OFFSET(A$2:$A$32,E103-1,1,1,2), OFFSET($A$2:B$32,F103-1,1,1,2))</f>
        <v>14.79288718897009</v>
      </c>
      <c r="D103" s="51">
        <f t="shared" ca="1" si="20"/>
        <v>3.8461522576427067</v>
      </c>
      <c r="E103" s="3">
        <f t="shared" si="21"/>
        <v>20</v>
      </c>
      <c r="F103" s="3">
        <f t="shared" si="22"/>
        <v>21</v>
      </c>
      <c r="G103"/>
      <c r="H103"/>
      <c r="I103"/>
    </row>
    <row r="104" spans="1:9" ht="15.75">
      <c r="A104" s="27" t="s">
        <v>101</v>
      </c>
      <c r="B104" s="27" t="s">
        <v>7</v>
      </c>
      <c r="C104" s="51">
        <f ca="1">SUMXMY2(OFFSET(A$2:$A$32,E104-1,1,1,2), OFFSET($A$2:B$32,F104-1,1,1,2))</f>
        <v>63.756067541319737</v>
      </c>
      <c r="D104" s="51">
        <f t="shared" ca="1" si="20"/>
        <v>7.9847396664712704</v>
      </c>
      <c r="E104" s="3">
        <f t="shared" si="21"/>
        <v>20</v>
      </c>
      <c r="F104" s="3">
        <f t="shared" si="22"/>
        <v>22</v>
      </c>
      <c r="G104"/>
      <c r="H104"/>
      <c r="I104"/>
    </row>
    <row r="105" spans="1:9" ht="15.75">
      <c r="A105" s="27" t="s">
        <v>101</v>
      </c>
      <c r="B105" s="27" t="s">
        <v>103</v>
      </c>
      <c r="C105" s="51">
        <f ca="1">SUMXMY2(OFFSET(A$2:$A$32,E105-1,1,1,2), OFFSET($A$2:B$32,F105-1,1,1,2))</f>
        <v>4.4070314313252457</v>
      </c>
      <c r="D105" s="51">
        <f t="shared" ca="1" si="20"/>
        <v>2.0992930789494939</v>
      </c>
      <c r="E105" s="3">
        <f t="shared" si="21"/>
        <v>20</v>
      </c>
      <c r="F105" s="3">
        <f t="shared" si="22"/>
        <v>23</v>
      </c>
      <c r="G105"/>
      <c r="H105"/>
      <c r="I105"/>
    </row>
    <row r="106" spans="1:9" ht="15.75">
      <c r="A106" s="27" t="s">
        <v>101</v>
      </c>
      <c r="B106" s="27" t="s">
        <v>104</v>
      </c>
      <c r="C106" s="51">
        <f ca="1">SUMXMY2(OFFSET(A$2:$A$32,E106-1,1,1,2), OFFSET($A$2:B$32,F106-1,1,1,2))</f>
        <v>53.591088607243464</v>
      </c>
      <c r="D106" s="51">
        <f t="shared" ca="1" si="20"/>
        <v>7.3205934600443063</v>
      </c>
      <c r="E106" s="3">
        <f t="shared" si="21"/>
        <v>20</v>
      </c>
      <c r="F106" s="3">
        <f t="shared" si="22"/>
        <v>24</v>
      </c>
      <c r="G106"/>
      <c r="H106"/>
      <c r="I106"/>
    </row>
    <row r="107" spans="1:9" ht="15.75">
      <c r="A107" s="27" t="s">
        <v>101</v>
      </c>
      <c r="B107" s="27" t="s">
        <v>105</v>
      </c>
      <c r="C107" s="51">
        <f ca="1">SUMXMY2(OFFSET(A$2:$A$32,E107-1,1,1,2), OFFSET($A$2:B$32,F107-1,1,1,2))</f>
        <v>0.1579740762388013</v>
      </c>
      <c r="D107" s="51">
        <f t="shared" ca="1" si="20"/>
        <v>0.39745952779975136</v>
      </c>
      <c r="E107" s="3">
        <f t="shared" si="21"/>
        <v>20</v>
      </c>
      <c r="F107" s="3">
        <f t="shared" si="22"/>
        <v>25</v>
      </c>
      <c r="G107"/>
      <c r="H107"/>
      <c r="I107"/>
    </row>
    <row r="108" spans="1:9" ht="15.75">
      <c r="A108" s="27" t="s">
        <v>102</v>
      </c>
      <c r="B108" s="27" t="s">
        <v>7</v>
      </c>
      <c r="C108" s="51">
        <f ca="1">SUMXMY2(OFFSET(A$2:$A$32,E108-1,1,1,2), OFFSET($A$2:B$32,F108-1,1,1,2))</f>
        <v>17.49042799425558</v>
      </c>
      <c r="D108" s="51">
        <f t="shared" ca="1" si="20"/>
        <v>4.1821559026721591</v>
      </c>
      <c r="E108" s="3">
        <f t="shared" si="21"/>
        <v>21</v>
      </c>
      <c r="F108" s="3">
        <f t="shared" si="22"/>
        <v>22</v>
      </c>
      <c r="G108"/>
      <c r="H108"/>
      <c r="I108"/>
    </row>
    <row r="109" spans="1:9" ht="15.75">
      <c r="A109" s="27" t="s">
        <v>102</v>
      </c>
      <c r="B109" s="27" t="s">
        <v>103</v>
      </c>
      <c r="C109" s="51">
        <f ca="1">SUMXMY2(OFFSET(A$2:$A$32,E109-1,1,1,2), OFFSET($A$2:B$32,F109-1,1,1,2))</f>
        <v>11.44682074257457</v>
      </c>
      <c r="D109" s="51">
        <f t="shared" ca="1" si="20"/>
        <v>3.3833150522194306</v>
      </c>
      <c r="E109" s="3">
        <f t="shared" si="21"/>
        <v>21</v>
      </c>
      <c r="F109" s="3">
        <f t="shared" si="22"/>
        <v>23</v>
      </c>
      <c r="G109"/>
      <c r="H109"/>
      <c r="I109"/>
    </row>
    <row r="110" spans="1:9" ht="15.75">
      <c r="A110" s="27" t="s">
        <v>102</v>
      </c>
      <c r="B110" s="27" t="s">
        <v>104</v>
      </c>
      <c r="C110" s="51">
        <f ca="1">SUMXMY2(OFFSET(A$2:$A$32,E110-1,1,1,2), OFFSET($A$2:B$32,F110-1,1,1,2))</f>
        <v>12.077775899020411</v>
      </c>
      <c r="D110" s="51">
        <f t="shared" ca="1" si="20"/>
        <v>3.4753094680935122</v>
      </c>
      <c r="E110" s="3">
        <f t="shared" si="21"/>
        <v>21</v>
      </c>
      <c r="F110" s="3">
        <f t="shared" si="22"/>
        <v>24</v>
      </c>
      <c r="G110"/>
      <c r="H110"/>
      <c r="I110"/>
    </row>
    <row r="111" spans="1:9" ht="15.75">
      <c r="A111" s="27" t="s">
        <v>102</v>
      </c>
      <c r="B111" s="27" t="s">
        <v>105</v>
      </c>
      <c r="C111" s="51">
        <f ca="1">SUMXMY2(OFFSET(A$2:$A$32,E111-1,1,1,2), OFFSET($A$2:B$32,F111-1,1,1,2))</f>
        <v>11.8937126652014</v>
      </c>
      <c r="D111" s="51">
        <f t="shared" ca="1" si="20"/>
        <v>3.4487262380770964</v>
      </c>
      <c r="E111" s="3">
        <f t="shared" si="21"/>
        <v>21</v>
      </c>
      <c r="F111" s="3">
        <f t="shared" si="22"/>
        <v>25</v>
      </c>
      <c r="G111"/>
      <c r="H111"/>
      <c r="I111"/>
    </row>
    <row r="112" spans="1:9" ht="15.75">
      <c r="A112" s="27" t="s">
        <v>7</v>
      </c>
      <c r="B112" s="27" t="s">
        <v>103</v>
      </c>
      <c r="C112" s="51">
        <f ca="1">SUMXMY2(OFFSET(A$2:$A$32,E112-1,1,1,2), OFFSET($A$2:B$32,F112-1,1,1,2))</f>
        <v>55.352825124272499</v>
      </c>
      <c r="D112" s="51">
        <f t="shared" ca="1" si="20"/>
        <v>7.4399479248360674</v>
      </c>
      <c r="E112" s="3">
        <f t="shared" si="21"/>
        <v>22</v>
      </c>
      <c r="F112" s="3">
        <f t="shared" si="22"/>
        <v>23</v>
      </c>
      <c r="G112"/>
      <c r="H112"/>
      <c r="I112"/>
    </row>
    <row r="113" spans="1:9" ht="15.75">
      <c r="A113" s="27" t="s">
        <v>7</v>
      </c>
      <c r="B113" s="27" t="s">
        <v>104</v>
      </c>
      <c r="C113" s="51">
        <f ca="1">SUMXMY2(OFFSET(A$2:$A$32,E113-1,1,1,2), OFFSET($A$2:B$32,F113-1,1,1,2))</f>
        <v>1.3292178785034003</v>
      </c>
      <c r="D113" s="51">
        <f t="shared" ca="1" si="20"/>
        <v>1.1529171169270584</v>
      </c>
      <c r="E113" s="3">
        <f t="shared" si="21"/>
        <v>22</v>
      </c>
      <c r="F113" s="3">
        <f t="shared" si="22"/>
        <v>24</v>
      </c>
      <c r="G113"/>
      <c r="H113"/>
      <c r="I113"/>
    </row>
    <row r="114" spans="1:9" ht="15.75">
      <c r="A114" s="27" t="s">
        <v>7</v>
      </c>
      <c r="B114" s="27" t="s">
        <v>105</v>
      </c>
      <c r="C114" s="51">
        <f ca="1">SUMXMY2(OFFSET(A$2:$A$32,E114-1,1,1,2), OFFSET($A$2:B$32,F114-1,1,1,2))</f>
        <v>57.61322651079513</v>
      </c>
      <c r="D114" s="51">
        <f t="shared" ca="1" si="20"/>
        <v>7.5903377072957126</v>
      </c>
      <c r="E114" s="3">
        <f t="shared" si="21"/>
        <v>22</v>
      </c>
      <c r="F114" s="3">
        <f t="shared" si="22"/>
        <v>25</v>
      </c>
      <c r="G114"/>
      <c r="H114"/>
      <c r="I114"/>
    </row>
    <row r="115" spans="1:9" ht="15.75">
      <c r="A115" s="27" t="s">
        <v>103</v>
      </c>
      <c r="B115" s="27" t="s">
        <v>104</v>
      </c>
      <c r="C115" s="51">
        <f ca="1">SUMXMY2(OFFSET(A$2:$A$32,E115-1,1,1,2), OFFSET($A$2:B$32,F115-1,1,1,2))</f>
        <v>42.848106345032519</v>
      </c>
      <c r="D115" s="51">
        <f t="shared" ca="1" si="20"/>
        <v>6.5458464956820155</v>
      </c>
      <c r="E115" s="3">
        <f t="shared" si="21"/>
        <v>23</v>
      </c>
      <c r="F115" s="3">
        <f t="shared" si="22"/>
        <v>24</v>
      </c>
      <c r="G115"/>
      <c r="H115"/>
      <c r="I115"/>
    </row>
    <row r="116" spans="1:9" ht="15.75">
      <c r="A116" s="27" t="s">
        <v>103</v>
      </c>
      <c r="B116" s="27" t="s">
        <v>105</v>
      </c>
      <c r="C116" s="51">
        <f ca="1">SUMXMY2(OFFSET(A$2:$A$32,E116-1,1,1,2), OFFSET($A$2:B$32,F116-1,1,1,2))</f>
        <v>3.7458656605599221</v>
      </c>
      <c r="D116" s="51">
        <f t="shared" ca="1" si="20"/>
        <v>1.9354238968659869</v>
      </c>
      <c r="E116" s="3">
        <f t="shared" si="21"/>
        <v>23</v>
      </c>
      <c r="F116" s="3">
        <f t="shared" si="22"/>
        <v>25</v>
      </c>
      <c r="G116"/>
      <c r="H116"/>
      <c r="I116"/>
    </row>
    <row r="117" spans="1:9" ht="15.75">
      <c r="A117" s="27" t="s">
        <v>104</v>
      </c>
      <c r="B117" s="27" t="s">
        <v>105</v>
      </c>
      <c r="C117" s="51">
        <f ca="1">SUMXMY2(OFFSET(A$2:$A$32,E117-1,1,1,2), OFFSET($A$2:B$32,F117-1,1,1,2))</f>
        <v>47.929799425182267</v>
      </c>
      <c r="D117" s="51">
        <f t="shared" ca="1" si="20"/>
        <v>6.9231350864461882</v>
      </c>
      <c r="E117" s="3">
        <f t="shared" si="21"/>
        <v>24</v>
      </c>
      <c r="F117" s="3">
        <f t="shared" si="22"/>
        <v>25</v>
      </c>
      <c r="G117"/>
      <c r="H117"/>
      <c r="I117"/>
    </row>
    <row r="118" spans="1:9" ht="15.75">
      <c r="G118"/>
      <c r="H118"/>
      <c r="I118"/>
    </row>
    <row r="119" spans="1:9" ht="15.75">
      <c r="A119" s="27" t="s">
        <v>106</v>
      </c>
      <c r="B119" s="27" t="s">
        <v>107</v>
      </c>
      <c r="C119" s="51">
        <f ca="1">SUMXMY2(OFFSET(A$2:$A$32,E119-1,1,1,2), OFFSET($A$2:B$32,F119-1,1,1,2))</f>
        <v>269.42540034232672</v>
      </c>
      <c r="D119" s="51">
        <f t="shared" ca="1" si="20"/>
        <v>16.414182902061459</v>
      </c>
      <c r="E119" s="3">
        <f t="shared" ref="E119:E128" si="23">MATCH(A119,$A$2:$A$32,0)</f>
        <v>27</v>
      </c>
      <c r="F119" s="3">
        <f t="shared" ref="F119:F128" si="24">MATCH(B119,$A$2:$A$32,0)</f>
        <v>28</v>
      </c>
      <c r="G119"/>
      <c r="H119"/>
      <c r="I119"/>
    </row>
    <row r="120" spans="1:9" ht="15.75">
      <c r="A120" s="27" t="s">
        <v>106</v>
      </c>
      <c r="B120" s="27" t="s">
        <v>108</v>
      </c>
      <c r="C120" s="51">
        <f ca="1">SUMXMY2(OFFSET(A$2:$A$32,E120-1,1,1,2), OFFSET($A$2:B$32,F120-1,1,1,2))</f>
        <v>802.96198729133687</v>
      </c>
      <c r="D120" s="51">
        <f t="shared" ca="1" si="20"/>
        <v>28.336583902992558</v>
      </c>
      <c r="E120" s="3">
        <f t="shared" si="23"/>
        <v>27</v>
      </c>
      <c r="F120" s="3">
        <f t="shared" si="24"/>
        <v>29</v>
      </c>
      <c r="G120"/>
      <c r="H120"/>
      <c r="I120"/>
    </row>
    <row r="121" spans="1:9" ht="15.75">
      <c r="A121" s="27" t="s">
        <v>106</v>
      </c>
      <c r="B121" s="27" t="s">
        <v>109</v>
      </c>
      <c r="C121" s="51">
        <f ca="1">SUMXMY2(OFFSET(A$2:$A$32,E121-1,1,1,2), OFFSET($A$2:B$32,F121-1,1,1,2))</f>
        <v>348.61445034344729</v>
      </c>
      <c r="D121" s="51">
        <f t="shared" ca="1" si="20"/>
        <v>18.671219840799029</v>
      </c>
      <c r="E121" s="3">
        <f t="shared" si="23"/>
        <v>27</v>
      </c>
      <c r="F121" s="3">
        <f t="shared" si="24"/>
        <v>30</v>
      </c>
      <c r="G121"/>
      <c r="H121"/>
      <c r="I121"/>
    </row>
    <row r="122" spans="1:9">
      <c r="A122" s="27" t="s">
        <v>106</v>
      </c>
      <c r="B122" s="27" t="s">
        <v>110</v>
      </c>
      <c r="C122" s="51">
        <f ca="1">SUMXMY2(OFFSET(A$2:$A$32,E122-1,1,1,2), OFFSET($A$2:B$32,F122-1,1,1,2))</f>
        <v>1187.1388575133112</v>
      </c>
      <c r="D122" s="51">
        <f t="shared" ca="1" si="20"/>
        <v>34.454881475827356</v>
      </c>
      <c r="E122" s="3">
        <f t="shared" si="23"/>
        <v>27</v>
      </c>
      <c r="F122" s="3">
        <f t="shared" si="24"/>
        <v>31</v>
      </c>
    </row>
    <row r="123" spans="1:9">
      <c r="A123" s="27" t="s">
        <v>107</v>
      </c>
      <c r="B123" s="27" t="s">
        <v>108</v>
      </c>
      <c r="C123" s="51">
        <f ca="1">SUMXMY2(OFFSET(A$2:$A$32,E123-1,1,1,2), OFFSET($A$2:B$32,F123-1,1,1,2))</f>
        <v>547.98895996839201</v>
      </c>
      <c r="D123" s="51">
        <f t="shared" ca="1" si="20"/>
        <v>23.40916401686297</v>
      </c>
      <c r="E123" s="3">
        <f t="shared" si="23"/>
        <v>28</v>
      </c>
      <c r="F123" s="3">
        <f t="shared" si="24"/>
        <v>29</v>
      </c>
    </row>
    <row r="124" spans="1:9">
      <c r="A124" s="27" t="s">
        <v>107</v>
      </c>
      <c r="B124" s="27" t="s">
        <v>109</v>
      </c>
      <c r="C124" s="51">
        <f ca="1">SUMXMY2(OFFSET(A$2:$A$32,E124-1,1,1,2), OFFSET($A$2:B$32,F124-1,1,1,2))</f>
        <v>7.7608494166586359</v>
      </c>
      <c r="D124" s="51">
        <f t="shared" ca="1" si="20"/>
        <v>2.7858301126699447</v>
      </c>
      <c r="E124" s="3">
        <f t="shared" si="23"/>
        <v>28</v>
      </c>
      <c r="F124" s="3">
        <f t="shared" si="24"/>
        <v>30</v>
      </c>
    </row>
    <row r="125" spans="1:9">
      <c r="A125" s="27" t="s">
        <v>107</v>
      </c>
      <c r="B125" s="27" t="s">
        <v>110</v>
      </c>
      <c r="C125" s="51">
        <f ca="1">SUMXMY2(OFFSET(A$2:$A$32,E125-1,1,1,2), OFFSET($A$2:B$32,F125-1,1,1,2))</f>
        <v>440.41008650815883</v>
      </c>
      <c r="D125" s="51">
        <f t="shared" ca="1" si="20"/>
        <v>20.985949740437263</v>
      </c>
      <c r="E125" s="3">
        <f t="shared" si="23"/>
        <v>28</v>
      </c>
      <c r="F125" s="3">
        <f t="shared" si="24"/>
        <v>31</v>
      </c>
    </row>
    <row r="126" spans="1:9">
      <c r="A126" s="27" t="s">
        <v>108</v>
      </c>
      <c r="B126" s="27" t="s">
        <v>109</v>
      </c>
      <c r="C126" s="51">
        <f ca="1">SUMXMY2(OFFSET(A$2:$A$32,E126-1,1,1,2), OFFSET($A$2:B$32,F126-1,1,1,2))</f>
        <v>639.10309948887868</v>
      </c>
      <c r="D126" s="51">
        <f t="shared" ca="1" si="20"/>
        <v>25.280488513651761</v>
      </c>
      <c r="E126" s="3">
        <f t="shared" si="23"/>
        <v>29</v>
      </c>
      <c r="F126" s="3">
        <f t="shared" si="24"/>
        <v>30</v>
      </c>
    </row>
    <row r="127" spans="1:9">
      <c r="A127" s="27" t="s">
        <v>108</v>
      </c>
      <c r="B127" s="27" t="s">
        <v>110</v>
      </c>
      <c r="C127" s="51">
        <f ca="1">SUMXMY2(OFFSET(A$2:$A$32,E127-1,1,1,2), OFFSET($A$2:B$32,F127-1,1,1,2))</f>
        <v>292.80958567898546</v>
      </c>
      <c r="D127" s="51">
        <f t="shared" ca="1" si="20"/>
        <v>17.111679802958722</v>
      </c>
      <c r="E127" s="3">
        <f t="shared" si="23"/>
        <v>29</v>
      </c>
      <c r="F127" s="3">
        <f t="shared" si="24"/>
        <v>31</v>
      </c>
    </row>
    <row r="128" spans="1:9">
      <c r="A128" s="27" t="s">
        <v>109</v>
      </c>
      <c r="B128" s="27" t="s">
        <v>110</v>
      </c>
      <c r="C128" s="51">
        <f ca="1">SUMXMY2(OFFSET(A$2:$A$32,E128-1,1,1,2), OFFSET($A$2:B$32,F128-1,1,1,2))</f>
        <v>437.55745099225931</v>
      </c>
      <c r="D128" s="51">
        <f t="shared" ca="1" si="20"/>
        <v>20.917873959660895</v>
      </c>
      <c r="E128" s="3">
        <f t="shared" si="23"/>
        <v>30</v>
      </c>
      <c r="F128" s="3">
        <f t="shared" si="24"/>
        <v>31</v>
      </c>
    </row>
    <row r="130" spans="1:5" ht="16.5">
      <c r="C130" s="29" t="s">
        <v>137</v>
      </c>
    </row>
    <row r="131" spans="1:5">
      <c r="B131" s="36" t="s">
        <v>134</v>
      </c>
      <c r="C131" s="3" t="s">
        <v>136</v>
      </c>
      <c r="D131" s="36" t="s">
        <v>134</v>
      </c>
      <c r="E131" s="3" t="s">
        <v>135</v>
      </c>
    </row>
    <row r="132" spans="1:5">
      <c r="B132" s="36" t="s">
        <v>133</v>
      </c>
      <c r="C132" s="3">
        <v>1</v>
      </c>
      <c r="D132" s="36"/>
    </row>
    <row r="133" spans="1:5">
      <c r="B133" s="36" t="s">
        <v>132</v>
      </c>
      <c r="C133" s="51">
        <f ca="1">VLOOKUP(C132,$A$44:$E$48,5,FALSE())</f>
        <v>4.3502113212899731</v>
      </c>
      <c r="D133" s="36" t="s">
        <v>132</v>
      </c>
      <c r="E133" s="51">
        <f ca="1">2 * C133</f>
        <v>8.7004226425799462</v>
      </c>
    </row>
    <row r="134" spans="1:5">
      <c r="B134" s="51">
        <f ca="1">VLOOKUP(C132,$A$44:$E$48,2,FALSE())</f>
        <v>61.629057437726601</v>
      </c>
      <c r="C134" s="51">
        <f ca="1">VLOOKUP(C132,$A$44:$E$48,3,FALSE())</f>
        <v>37.54118701468029</v>
      </c>
      <c r="D134" s="51">
        <f ca="1">B134</f>
        <v>61.629057437726601</v>
      </c>
      <c r="E134" s="51">
        <f ca="1">C134</f>
        <v>37.54118701468029</v>
      </c>
    </row>
    <row r="135" spans="1:5">
      <c r="A135" s="27" t="s">
        <v>131</v>
      </c>
      <c r="B135" s="27" t="s">
        <v>108</v>
      </c>
      <c r="C135" s="27" t="s">
        <v>109</v>
      </c>
      <c r="D135" s="27" t="s">
        <v>108</v>
      </c>
      <c r="E135" s="27" t="s">
        <v>109</v>
      </c>
    </row>
    <row r="136" spans="1:5">
      <c r="A136" s="4">
        <v>0</v>
      </c>
      <c r="B136" s="51">
        <f t="shared" ref="B136:B160" ca="1" si="25">B$134 + C$133 * COS(RADIANS($A136))</f>
        <v>65.979268759016577</v>
      </c>
      <c r="C136" s="51">
        <f t="shared" ref="C136:C160" ca="1" si="26">C$134 + C$133 * SIN(RADIANS($A136))</f>
        <v>37.54118701468029</v>
      </c>
      <c r="D136" s="51">
        <f t="shared" ref="D136:D160" ca="1" si="27">D$134 + E$133 * COS(RADIANS($A136))</f>
        <v>70.329480080306553</v>
      </c>
      <c r="E136" s="51">
        <f t="shared" ref="E136:E160" ca="1" si="28">E$134 + E$133 * SIN(RADIANS($A136))</f>
        <v>37.54118701468029</v>
      </c>
    </row>
    <row r="137" spans="1:5">
      <c r="A137" s="4">
        <f>A136 + 15</f>
        <v>15</v>
      </c>
      <c r="B137" s="51">
        <f t="shared" ca="1" si="25"/>
        <v>65.831038902775674</v>
      </c>
      <c r="C137" s="51">
        <f t="shared" ca="1" si="26"/>
        <v>38.667104554850738</v>
      </c>
      <c r="D137" s="51">
        <f t="shared" ca="1" si="27"/>
        <v>70.033020367824747</v>
      </c>
      <c r="E137" s="51">
        <f t="shared" ca="1" si="28"/>
        <v>39.793022095021179</v>
      </c>
    </row>
    <row r="138" spans="1:5">
      <c r="A138" s="4">
        <f t="shared" ref="A138:A159" si="29">A137 + 15</f>
        <v>30</v>
      </c>
      <c r="B138" s="51">
        <f t="shared" ca="1" si="25"/>
        <v>65.396450953794385</v>
      </c>
      <c r="C138" s="51">
        <f t="shared" ca="1" si="26"/>
        <v>39.716292675325278</v>
      </c>
      <c r="D138" s="51">
        <f t="shared" ca="1" si="27"/>
        <v>69.16384446986217</v>
      </c>
      <c r="E138" s="51">
        <f t="shared" ca="1" si="28"/>
        <v>41.891398335970266</v>
      </c>
    </row>
    <row r="139" spans="1:5">
      <c r="A139" s="4">
        <f t="shared" si="29"/>
        <v>45</v>
      </c>
      <c r="B139" s="51">
        <f t="shared" ca="1" si="25"/>
        <v>64.705121362605226</v>
      </c>
      <c r="C139" s="51">
        <f t="shared" ca="1" si="26"/>
        <v>40.617250939558922</v>
      </c>
      <c r="D139" s="51">
        <f t="shared" ca="1" si="27"/>
        <v>67.781185287483865</v>
      </c>
      <c r="E139" s="51">
        <f t="shared" ca="1" si="28"/>
        <v>43.693314864437554</v>
      </c>
    </row>
    <row r="140" spans="1:5">
      <c r="A140" s="4">
        <f t="shared" si="29"/>
        <v>60</v>
      </c>
      <c r="B140" s="51">
        <f t="shared" ca="1" si="25"/>
        <v>63.804163098371589</v>
      </c>
      <c r="C140" s="51">
        <f t="shared" ca="1" si="26"/>
        <v>41.308580530748074</v>
      </c>
      <c r="D140" s="51">
        <f t="shared" ca="1" si="27"/>
        <v>65.979268759016577</v>
      </c>
      <c r="E140" s="51">
        <f t="shared" ca="1" si="28"/>
        <v>45.075974046815858</v>
      </c>
    </row>
    <row r="141" spans="1:5">
      <c r="A141" s="4">
        <f t="shared" si="29"/>
        <v>75</v>
      </c>
      <c r="B141" s="51">
        <f t="shared" ca="1" si="25"/>
        <v>62.754974977897049</v>
      </c>
      <c r="C141" s="51">
        <f t="shared" ca="1" si="26"/>
        <v>41.743168479729363</v>
      </c>
      <c r="D141" s="51">
        <f t="shared" ca="1" si="27"/>
        <v>63.88089251806749</v>
      </c>
      <c r="E141" s="51">
        <f t="shared" ca="1" si="28"/>
        <v>45.945149944778443</v>
      </c>
    </row>
    <row r="142" spans="1:5">
      <c r="A142" s="4">
        <f t="shared" si="29"/>
        <v>90</v>
      </c>
      <c r="B142" s="51">
        <f t="shared" ca="1" si="25"/>
        <v>61.629057437726601</v>
      </c>
      <c r="C142" s="51">
        <f t="shared" ca="1" si="26"/>
        <v>41.891398335970266</v>
      </c>
      <c r="D142" s="51">
        <f t="shared" ca="1" si="27"/>
        <v>61.629057437726601</v>
      </c>
      <c r="E142" s="51">
        <f t="shared" ca="1" si="28"/>
        <v>46.241609657260234</v>
      </c>
    </row>
    <row r="143" spans="1:5">
      <c r="A143" s="4">
        <f t="shared" si="29"/>
        <v>105</v>
      </c>
      <c r="B143" s="51">
        <f t="shared" ca="1" si="25"/>
        <v>60.503139897556153</v>
      </c>
      <c r="C143" s="51">
        <f t="shared" ca="1" si="26"/>
        <v>41.743168479729363</v>
      </c>
      <c r="D143" s="51">
        <f t="shared" ca="1" si="27"/>
        <v>59.377222357385705</v>
      </c>
      <c r="E143" s="51">
        <f t="shared" ca="1" si="28"/>
        <v>45.945149944778443</v>
      </c>
    </row>
    <row r="144" spans="1:5">
      <c r="A144" s="4">
        <f t="shared" si="29"/>
        <v>120</v>
      </c>
      <c r="B144" s="51">
        <f t="shared" ca="1" si="25"/>
        <v>59.453951777081613</v>
      </c>
      <c r="C144" s="51">
        <f t="shared" ca="1" si="26"/>
        <v>41.308580530748074</v>
      </c>
      <c r="D144" s="51">
        <f t="shared" ca="1" si="27"/>
        <v>57.278846116436632</v>
      </c>
      <c r="E144" s="51">
        <f t="shared" ca="1" si="28"/>
        <v>45.075974046815858</v>
      </c>
    </row>
    <row r="145" spans="1:5">
      <c r="A145" s="4">
        <f t="shared" si="29"/>
        <v>135</v>
      </c>
      <c r="B145" s="51">
        <f t="shared" ca="1" si="25"/>
        <v>58.552993512847969</v>
      </c>
      <c r="C145" s="51">
        <f t="shared" ca="1" si="26"/>
        <v>40.617250939558922</v>
      </c>
      <c r="D145" s="51">
        <f t="shared" ca="1" si="27"/>
        <v>55.476929587969337</v>
      </c>
      <c r="E145" s="51">
        <f t="shared" ca="1" si="28"/>
        <v>43.693314864437554</v>
      </c>
    </row>
    <row r="146" spans="1:5">
      <c r="A146" s="4">
        <f t="shared" si="29"/>
        <v>150</v>
      </c>
      <c r="B146" s="51">
        <f t="shared" ca="1" si="25"/>
        <v>57.861663921658817</v>
      </c>
      <c r="C146" s="51">
        <f t="shared" ca="1" si="26"/>
        <v>39.716292675325278</v>
      </c>
      <c r="D146" s="51">
        <f t="shared" ca="1" si="27"/>
        <v>54.094270405591033</v>
      </c>
      <c r="E146" s="51">
        <f t="shared" ca="1" si="28"/>
        <v>41.891398335970266</v>
      </c>
    </row>
    <row r="147" spans="1:5">
      <c r="A147" s="4">
        <f t="shared" si="29"/>
        <v>165</v>
      </c>
      <c r="B147" s="51">
        <f t="shared" ca="1" si="25"/>
        <v>57.427075972677528</v>
      </c>
      <c r="C147" s="51">
        <f t="shared" ca="1" si="26"/>
        <v>38.667104554850738</v>
      </c>
      <c r="D147" s="51">
        <f t="shared" ca="1" si="27"/>
        <v>53.225094507628448</v>
      </c>
      <c r="E147" s="51">
        <f t="shared" ca="1" si="28"/>
        <v>39.793022095021186</v>
      </c>
    </row>
    <row r="148" spans="1:5">
      <c r="A148" s="4">
        <f t="shared" si="29"/>
        <v>180</v>
      </c>
      <c r="B148" s="51">
        <f t="shared" ca="1" si="25"/>
        <v>57.278846116436625</v>
      </c>
      <c r="C148" s="51">
        <f t="shared" ca="1" si="26"/>
        <v>37.54118701468029</v>
      </c>
      <c r="D148" s="51">
        <f t="shared" ca="1" si="27"/>
        <v>52.928634795146657</v>
      </c>
      <c r="E148" s="51">
        <f t="shared" ca="1" si="28"/>
        <v>37.54118701468029</v>
      </c>
    </row>
    <row r="149" spans="1:5">
      <c r="A149" s="4">
        <f t="shared" si="29"/>
        <v>195</v>
      </c>
      <c r="B149" s="51">
        <f t="shared" ca="1" si="25"/>
        <v>57.427075972677528</v>
      </c>
      <c r="C149" s="51">
        <f t="shared" ca="1" si="26"/>
        <v>36.415269474509842</v>
      </c>
      <c r="D149" s="51">
        <f t="shared" ca="1" si="27"/>
        <v>53.225094507628448</v>
      </c>
      <c r="E149" s="51">
        <f t="shared" ca="1" si="28"/>
        <v>35.2893519343394</v>
      </c>
    </row>
    <row r="150" spans="1:5">
      <c r="A150" s="4">
        <f t="shared" si="29"/>
        <v>210</v>
      </c>
      <c r="B150" s="51">
        <f t="shared" ca="1" si="25"/>
        <v>57.861663921658817</v>
      </c>
      <c r="C150" s="51">
        <f t="shared" ca="1" si="26"/>
        <v>35.366081354035302</v>
      </c>
      <c r="D150" s="51">
        <f t="shared" ca="1" si="27"/>
        <v>54.094270405591033</v>
      </c>
      <c r="E150" s="51">
        <f t="shared" ca="1" si="28"/>
        <v>33.190975693390314</v>
      </c>
    </row>
    <row r="151" spans="1:5">
      <c r="A151" s="4">
        <f t="shared" si="29"/>
        <v>225</v>
      </c>
      <c r="B151" s="51">
        <f t="shared" ca="1" si="25"/>
        <v>58.552993512847969</v>
      </c>
      <c r="C151" s="51">
        <f t="shared" ca="1" si="26"/>
        <v>34.465123089801658</v>
      </c>
      <c r="D151" s="51">
        <f t="shared" ca="1" si="27"/>
        <v>55.476929587969337</v>
      </c>
      <c r="E151" s="51">
        <f t="shared" ca="1" si="28"/>
        <v>31.389059164923029</v>
      </c>
    </row>
    <row r="152" spans="1:5">
      <c r="A152" s="4">
        <f t="shared" si="29"/>
        <v>240</v>
      </c>
      <c r="B152" s="51">
        <f t="shared" ca="1" si="25"/>
        <v>59.453951777081613</v>
      </c>
      <c r="C152" s="51">
        <f t="shared" ca="1" si="26"/>
        <v>33.773793498612505</v>
      </c>
      <c r="D152" s="51">
        <f t="shared" ca="1" si="27"/>
        <v>57.278846116436625</v>
      </c>
      <c r="E152" s="51">
        <f t="shared" ca="1" si="28"/>
        <v>30.006399982544721</v>
      </c>
    </row>
    <row r="153" spans="1:5">
      <c r="A153" s="4">
        <f t="shared" si="29"/>
        <v>255</v>
      </c>
      <c r="B153" s="51">
        <f t="shared" ca="1" si="25"/>
        <v>60.503139897556153</v>
      </c>
      <c r="C153" s="51">
        <f t="shared" ca="1" si="26"/>
        <v>33.339205549631217</v>
      </c>
      <c r="D153" s="51">
        <f t="shared" ca="1" si="27"/>
        <v>59.377222357385712</v>
      </c>
      <c r="E153" s="51">
        <f t="shared" ca="1" si="28"/>
        <v>29.137224084582137</v>
      </c>
    </row>
    <row r="154" spans="1:5">
      <c r="A154" s="4">
        <f t="shared" si="29"/>
        <v>270</v>
      </c>
      <c r="B154" s="51">
        <f t="shared" ca="1" si="25"/>
        <v>61.629057437726601</v>
      </c>
      <c r="C154" s="51">
        <f t="shared" ca="1" si="26"/>
        <v>33.190975693390314</v>
      </c>
      <c r="D154" s="51">
        <f t="shared" ca="1" si="27"/>
        <v>61.629057437726601</v>
      </c>
      <c r="E154" s="51">
        <f t="shared" ca="1" si="28"/>
        <v>28.840764372100345</v>
      </c>
    </row>
    <row r="155" spans="1:5">
      <c r="A155" s="4">
        <f t="shared" si="29"/>
        <v>285</v>
      </c>
      <c r="B155" s="51">
        <f t="shared" ca="1" si="25"/>
        <v>62.754974977897042</v>
      </c>
      <c r="C155" s="51">
        <f t="shared" ca="1" si="26"/>
        <v>33.33920554963121</v>
      </c>
      <c r="D155" s="51">
        <f t="shared" ca="1" si="27"/>
        <v>63.88089251806749</v>
      </c>
      <c r="E155" s="51">
        <f t="shared" ca="1" si="28"/>
        <v>29.137224084582137</v>
      </c>
    </row>
    <row r="156" spans="1:5">
      <c r="A156" s="4">
        <f t="shared" si="29"/>
        <v>300</v>
      </c>
      <c r="B156" s="51">
        <f t="shared" ca="1" si="25"/>
        <v>63.804163098371589</v>
      </c>
      <c r="C156" s="51">
        <f t="shared" ca="1" si="26"/>
        <v>33.773793498612505</v>
      </c>
      <c r="D156" s="51">
        <f t="shared" ca="1" si="27"/>
        <v>65.979268759016577</v>
      </c>
      <c r="E156" s="51">
        <f t="shared" ca="1" si="28"/>
        <v>30.006399982544721</v>
      </c>
    </row>
    <row r="157" spans="1:5">
      <c r="A157" s="4">
        <f t="shared" si="29"/>
        <v>315</v>
      </c>
      <c r="B157" s="51">
        <f t="shared" ca="1" si="25"/>
        <v>64.705121362605226</v>
      </c>
      <c r="C157" s="51">
        <f t="shared" ca="1" si="26"/>
        <v>34.465123089801658</v>
      </c>
      <c r="D157" s="51">
        <f t="shared" ca="1" si="27"/>
        <v>67.781185287483865</v>
      </c>
      <c r="E157" s="51">
        <f t="shared" ca="1" si="28"/>
        <v>31.389059164923026</v>
      </c>
    </row>
    <row r="158" spans="1:5">
      <c r="A158" s="4">
        <f t="shared" si="29"/>
        <v>330</v>
      </c>
      <c r="B158" s="51">
        <f t="shared" ca="1" si="25"/>
        <v>65.396450953794385</v>
      </c>
      <c r="C158" s="51">
        <f t="shared" ca="1" si="26"/>
        <v>35.366081354035302</v>
      </c>
      <c r="D158" s="51">
        <f t="shared" ca="1" si="27"/>
        <v>69.16384446986217</v>
      </c>
      <c r="E158" s="51">
        <f t="shared" ca="1" si="28"/>
        <v>33.190975693390314</v>
      </c>
    </row>
    <row r="159" spans="1:5">
      <c r="A159" s="4">
        <f t="shared" si="29"/>
        <v>345</v>
      </c>
      <c r="B159" s="51">
        <f t="shared" ca="1" si="25"/>
        <v>65.831038902775674</v>
      </c>
      <c r="C159" s="51">
        <f t="shared" ca="1" si="26"/>
        <v>36.415269474509842</v>
      </c>
      <c r="D159" s="51">
        <f t="shared" ca="1" si="27"/>
        <v>70.033020367824747</v>
      </c>
      <c r="E159" s="51">
        <f t="shared" ca="1" si="28"/>
        <v>35.2893519343394</v>
      </c>
    </row>
    <row r="160" spans="1:5">
      <c r="A160" s="4">
        <f>A159 + 15</f>
        <v>360</v>
      </c>
      <c r="B160" s="51">
        <f t="shared" ca="1" si="25"/>
        <v>65.979268759016577</v>
      </c>
      <c r="C160" s="51">
        <f t="shared" ca="1" si="26"/>
        <v>37.54118701468029</v>
      </c>
      <c r="D160" s="51">
        <f t="shared" ca="1" si="27"/>
        <v>70.329480080306553</v>
      </c>
      <c r="E160" s="51">
        <f t="shared" ca="1" si="28"/>
        <v>37.54118701468029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9"/>
  <dimension ref="A1:K45"/>
  <sheetViews>
    <sheetView topLeftCell="L1" workbookViewId="0">
      <selection activeCell="Y4" sqref="Y4"/>
    </sheetView>
  </sheetViews>
  <sheetFormatPr defaultColWidth="8.85546875" defaultRowHeight="15"/>
  <cols>
    <col min="1" max="15" width="11.7109375" style="3" customWidth="1"/>
    <col min="16" max="16384" width="8.85546875" style="3"/>
  </cols>
  <sheetData>
    <row r="1" spans="1:11">
      <c r="A1" s="65" t="s">
        <v>52</v>
      </c>
      <c r="B1" s="65" t="s">
        <v>53</v>
      </c>
      <c r="C1" s="65" t="s">
        <v>71</v>
      </c>
      <c r="D1" s="65" t="s">
        <v>54</v>
      </c>
      <c r="F1" s="71"/>
      <c r="G1" s="71"/>
      <c r="H1" s="77" t="s">
        <v>73</v>
      </c>
      <c r="I1" s="71"/>
      <c r="J1" s="71"/>
      <c r="K1" s="71"/>
    </row>
    <row r="2" spans="1:11">
      <c r="A2" s="27" t="s">
        <v>13</v>
      </c>
      <c r="B2" s="51">
        <v>5</v>
      </c>
      <c r="C2" s="51">
        <v>4</v>
      </c>
      <c r="D2" s="51">
        <f>SUM(B2:C2)</f>
        <v>9</v>
      </c>
      <c r="F2" s="3" t="s">
        <v>68</v>
      </c>
      <c r="G2" s="27" t="s">
        <v>55</v>
      </c>
      <c r="H2" s="27" t="s">
        <v>71</v>
      </c>
      <c r="I2" s="27" t="s">
        <v>56</v>
      </c>
      <c r="J2" s="27" t="s">
        <v>57</v>
      </c>
      <c r="K2" s="27" t="s">
        <v>95</v>
      </c>
    </row>
    <row r="3" spans="1:11">
      <c r="A3" s="27" t="s">
        <v>9</v>
      </c>
      <c r="B3" s="51">
        <v>5</v>
      </c>
      <c r="C3" s="51">
        <v>3.5</v>
      </c>
      <c r="D3" s="51">
        <f t="shared" ref="D3:D8" si="0">SUM(B3:C3)</f>
        <v>8.5</v>
      </c>
      <c r="F3" s="3" t="s">
        <v>58</v>
      </c>
      <c r="G3" s="51">
        <f>(B2-B3)^2</f>
        <v>0</v>
      </c>
      <c r="H3" s="51">
        <f>(C2-C3)^2</f>
        <v>0.25</v>
      </c>
      <c r="I3" s="51">
        <f>SUM(G3:H3)</f>
        <v>0.25</v>
      </c>
      <c r="J3" s="51">
        <f>SQRT(I3)</f>
        <v>0.5</v>
      </c>
      <c r="K3" s="51">
        <f>SQRT(SUMXMY2($B$2:$C$2,$B$3:$C$3))</f>
        <v>0.5</v>
      </c>
    </row>
    <row r="4" spans="1:11">
      <c r="A4" s="27" t="s">
        <v>14</v>
      </c>
      <c r="B4" s="51">
        <f>5-SQRT(0.5)</f>
        <v>4.2928932188134521</v>
      </c>
      <c r="C4" s="51">
        <f>4-SQRT(0.5)</f>
        <v>3.2928932188134525</v>
      </c>
      <c r="D4" s="51">
        <f t="shared" si="0"/>
        <v>7.5857864376269042</v>
      </c>
      <c r="F4" s="3" t="s">
        <v>59</v>
      </c>
      <c r="G4" s="51">
        <f>(B3-B4)^2</f>
        <v>0.50000000000000056</v>
      </c>
      <c r="H4" s="51">
        <f>(C3-C4)^2</f>
        <v>4.2893218813452448E-2</v>
      </c>
      <c r="I4" s="51">
        <f>SUM(G4:H4)</f>
        <v>0.54289321881345298</v>
      </c>
      <c r="J4" s="51">
        <f>SQRT(I4)</f>
        <v>0.73681287910395066</v>
      </c>
      <c r="K4" s="51">
        <f>SQRT(SUMXMY2($B$3:$C$3,$B$4:$C$4))</f>
        <v>0.73681287910395066</v>
      </c>
    </row>
    <row r="5" spans="1:11">
      <c r="A5" s="27" t="s">
        <v>15</v>
      </c>
      <c r="B5" s="51">
        <v>3</v>
      </c>
      <c r="C5" s="51">
        <v>2.5</v>
      </c>
      <c r="D5" s="51">
        <f t="shared" si="0"/>
        <v>5.5</v>
      </c>
    </row>
    <row r="6" spans="1:11">
      <c r="A6" s="27" t="s">
        <v>16</v>
      </c>
      <c r="B6" s="51">
        <v>3.25</v>
      </c>
      <c r="C6" s="51">
        <v>4.75</v>
      </c>
      <c r="D6" s="51">
        <f t="shared" si="0"/>
        <v>8</v>
      </c>
    </row>
    <row r="7" spans="1:11">
      <c r="A7" s="27" t="s">
        <v>17</v>
      </c>
      <c r="B7" s="51">
        <v>3.5</v>
      </c>
      <c r="C7" s="51">
        <v>5.25</v>
      </c>
      <c r="D7" s="51">
        <f t="shared" si="0"/>
        <v>8.75</v>
      </c>
    </row>
    <row r="8" spans="1:11">
      <c r="A8" s="27" t="s">
        <v>8</v>
      </c>
      <c r="B8" s="51">
        <f>3.5-SQRT(0.5)</f>
        <v>2.7928932188134525</v>
      </c>
      <c r="C8" s="51">
        <f>5.25-SQRT(0.5)</f>
        <v>4.5428932188134521</v>
      </c>
      <c r="D8" s="51">
        <f t="shared" si="0"/>
        <v>7.3357864376269042</v>
      </c>
    </row>
    <row r="10" spans="1:11">
      <c r="B10" s="27" t="s">
        <v>13</v>
      </c>
      <c r="C10" s="27" t="s">
        <v>9</v>
      </c>
      <c r="D10" s="27" t="s">
        <v>14</v>
      </c>
      <c r="E10" s="27" t="s">
        <v>15</v>
      </c>
      <c r="F10" s="27" t="s">
        <v>16</v>
      </c>
      <c r="G10" s="27" t="s">
        <v>17</v>
      </c>
      <c r="H10" s="27"/>
    </row>
    <row r="11" spans="1:11">
      <c r="A11" s="27" t="s">
        <v>13</v>
      </c>
      <c r="B11" s="51"/>
    </row>
    <row r="12" spans="1:11">
      <c r="A12" s="27" t="s">
        <v>9</v>
      </c>
      <c r="B12" s="58">
        <f ca="1">SQRT(SUMXMY2(OFFSET($A$1:$D$8,MATCH($A12,$A$1:$A$8,0)-1,1,1,2),OFFSET($A$1:$D$8,MATCH(B$10,$A$1:$A$8,0)-1,1,1,2)))</f>
        <v>0.5</v>
      </c>
      <c r="C12" s="51"/>
    </row>
    <row r="13" spans="1:11">
      <c r="A13" s="27" t="s">
        <v>14</v>
      </c>
      <c r="B13" s="58">
        <f t="shared" ref="B13:F17" ca="1" si="1">SQRT(SUMXMY2(OFFSET($A$1:$D$8,MATCH($A13,$A$1:$A$8,0)-1,1,1,2),OFFSET($A$1:$D$8,MATCH(B$10,$A$1:$A$8,0)-1,1,1,2)))</f>
        <v>1.0000000000000002</v>
      </c>
      <c r="C13" s="58">
        <f t="shared" ca="1" si="1"/>
        <v>0.73681287910395066</v>
      </c>
      <c r="D13" s="51"/>
    </row>
    <row r="14" spans="1:11">
      <c r="A14" s="27" t="s">
        <v>15</v>
      </c>
      <c r="B14" s="51">
        <f t="shared" ca="1" si="1"/>
        <v>2.5</v>
      </c>
      <c r="C14" s="51">
        <f t="shared" ca="1" si="1"/>
        <v>2.2360679774997898</v>
      </c>
      <c r="D14" s="51">
        <f t="shared" ca="1" si="1"/>
        <v>1.516658343759123</v>
      </c>
      <c r="E14" s="51"/>
    </row>
    <row r="15" spans="1:11">
      <c r="A15" s="27" t="s">
        <v>16</v>
      </c>
      <c r="B15" s="51">
        <f t="shared" ca="1" si="1"/>
        <v>1.9039432764659772</v>
      </c>
      <c r="C15" s="51">
        <f t="shared" ca="1" si="1"/>
        <v>2.1505813167606567</v>
      </c>
      <c r="D15" s="51">
        <f t="shared" ca="1" si="1"/>
        <v>1.7918667466156359</v>
      </c>
      <c r="E15" s="51">
        <f t="shared" ca="1" si="1"/>
        <v>2.2638462845343543</v>
      </c>
      <c r="F15" s="51"/>
    </row>
    <row r="16" spans="1:11">
      <c r="A16" s="27" t="s">
        <v>17</v>
      </c>
      <c r="B16" s="51">
        <f t="shared" ca="1" si="1"/>
        <v>1.9525624189766635</v>
      </c>
      <c r="C16" s="51">
        <f t="shared" ca="1" si="1"/>
        <v>2.3048861143232218</v>
      </c>
      <c r="D16" s="51">
        <f t="shared" ca="1" si="1"/>
        <v>2.111621796015263</v>
      </c>
      <c r="E16" s="51">
        <f t="shared" ca="1" si="1"/>
        <v>2.7950849718747373</v>
      </c>
      <c r="F16" s="59">
        <f t="shared" ca="1" si="1"/>
        <v>0.55901699437494745</v>
      </c>
      <c r="G16" s="51"/>
    </row>
    <row r="17" spans="1:8">
      <c r="A17" s="27" t="s">
        <v>8</v>
      </c>
      <c r="B17" s="51">
        <f t="shared" ca="1" si="1"/>
        <v>2.2728953760772344</v>
      </c>
      <c r="C17" s="51">
        <f t="shared" ca="1" si="1"/>
        <v>2.4410953708134233</v>
      </c>
      <c r="D17" s="51">
        <f t="shared" ca="1" si="1"/>
        <v>1.9525624189766628</v>
      </c>
      <c r="E17" s="51">
        <f t="shared" ca="1" si="1"/>
        <v>2.0533645371164466</v>
      </c>
      <c r="F17" s="59">
        <f t="shared" ca="1" si="1"/>
        <v>0.50183645565082136</v>
      </c>
      <c r="G17" s="59">
        <f ca="1">SQRT(SUMXMY2(OFFSET($A$1:$D$8,MATCH($A17,$A$1:$A$8,0)-1,1,1,2),OFFSET($A$1:$D$8,MATCH(G$10,$A$1:$A$8,0)-1,1,1,2)))</f>
        <v>1.0000000000000002</v>
      </c>
      <c r="H17" s="51"/>
    </row>
    <row r="21" spans="1:8" ht="16.5">
      <c r="A21" s="84" t="s">
        <v>88</v>
      </c>
    </row>
    <row r="22" spans="1:8" ht="16.5">
      <c r="A22" s="83" t="s">
        <v>89</v>
      </c>
      <c r="B22" s="29" t="s">
        <v>90</v>
      </c>
      <c r="C22" s="29" t="s">
        <v>91</v>
      </c>
      <c r="D22" s="29" t="s">
        <v>94</v>
      </c>
    </row>
    <row r="23" spans="1:8" ht="15.75">
      <c r="A23" t="s">
        <v>13</v>
      </c>
      <c r="B23" t="s">
        <v>9</v>
      </c>
      <c r="C23">
        <f ca="1">SUMXMY2( OFFSET($A$1:$D$8,MATCH(A23,$A$1:$A$8,0)-1,1,1,2), OFFSET($A$1:$D$8,MATCH(B23,$A$1:$A$8,0)-1,1,1,2))</f>
        <v>0.25</v>
      </c>
      <c r="D23">
        <f ca="1">SQRT(C23)</f>
        <v>0.5</v>
      </c>
      <c r="F23" s="28" t="s">
        <v>92</v>
      </c>
      <c r="G23" s="3">
        <f ca="1">_xlfn.AGGREGATE(1,7,D23:D43)</f>
        <v>1.7402239656637577</v>
      </c>
    </row>
    <row r="24" spans="1:8" ht="15.75">
      <c r="A24" t="s">
        <v>13</v>
      </c>
      <c r="B24" t="s">
        <v>14</v>
      </c>
      <c r="C24">
        <f t="shared" ref="C24:C43" ca="1" si="2">SUMXMY2( OFFSET($A$1:$D$8,MATCH(A24,$A$1:$A$8,0)-1,1,1,2), OFFSET($A$1:$D$8,MATCH(B24,$A$1:$A$8,0)-1,1,1,2))</f>
        <v>1.0000000000000004</v>
      </c>
      <c r="D24">
        <f t="shared" ref="D24:D43" ca="1" si="3">SQRT(C24)</f>
        <v>1.0000000000000002</v>
      </c>
      <c r="F24" s="28" t="s">
        <v>93</v>
      </c>
      <c r="G24" s="3">
        <f ca="1">AVERAGE(D23:D43)</f>
        <v>1.7402239656637577</v>
      </c>
    </row>
    <row r="25" spans="1:8" ht="15.75">
      <c r="A25" t="s">
        <v>13</v>
      </c>
      <c r="B25" t="s">
        <v>15</v>
      </c>
      <c r="C25">
        <f t="shared" ca="1" si="2"/>
        <v>6.25</v>
      </c>
      <c r="D25">
        <f t="shared" ca="1" si="3"/>
        <v>2.5</v>
      </c>
    </row>
    <row r="26" spans="1:8" ht="15.75">
      <c r="A26" t="s">
        <v>13</v>
      </c>
      <c r="B26" t="s">
        <v>16</v>
      </c>
      <c r="C26">
        <f t="shared" ca="1" si="2"/>
        <v>3.625</v>
      </c>
      <c r="D26">
        <f t="shared" ca="1" si="3"/>
        <v>1.9039432764659772</v>
      </c>
    </row>
    <row r="27" spans="1:8" ht="15.75">
      <c r="A27" t="s">
        <v>13</v>
      </c>
      <c r="B27" t="s">
        <v>17</v>
      </c>
      <c r="C27">
        <f t="shared" ca="1" si="2"/>
        <v>3.8125</v>
      </c>
      <c r="D27">
        <f t="shared" ca="1" si="3"/>
        <v>1.9525624189766635</v>
      </c>
    </row>
    <row r="28" spans="1:8" ht="15.75">
      <c r="A28" t="s">
        <v>13</v>
      </c>
      <c r="B28" t="s">
        <v>8</v>
      </c>
      <c r="C28">
        <f t="shared" ca="1" si="2"/>
        <v>5.1660533905932731</v>
      </c>
      <c r="D28">
        <f t="shared" ca="1" si="3"/>
        <v>2.2728953760772344</v>
      </c>
    </row>
    <row r="29" spans="1:8" ht="15.75">
      <c r="A29" t="s">
        <v>9</v>
      </c>
      <c r="B29" t="s">
        <v>14</v>
      </c>
      <c r="C29">
        <f t="shared" ca="1" si="2"/>
        <v>0.54289321881345298</v>
      </c>
      <c r="D29">
        <f t="shared" ca="1" si="3"/>
        <v>0.73681287910395066</v>
      </c>
    </row>
    <row r="30" spans="1:8" ht="15.75">
      <c r="A30" t="s">
        <v>9</v>
      </c>
      <c r="B30" t="s">
        <v>15</v>
      </c>
      <c r="C30">
        <f t="shared" ca="1" si="2"/>
        <v>5</v>
      </c>
      <c r="D30">
        <f t="shared" ca="1" si="3"/>
        <v>2.2360679774997898</v>
      </c>
    </row>
    <row r="31" spans="1:8" ht="15.75">
      <c r="A31" t="s">
        <v>9</v>
      </c>
      <c r="B31" t="s">
        <v>16</v>
      </c>
      <c r="C31">
        <f t="shared" ca="1" si="2"/>
        <v>4.625</v>
      </c>
      <c r="D31">
        <f t="shared" ca="1" si="3"/>
        <v>2.1505813167606567</v>
      </c>
    </row>
    <row r="32" spans="1:8" ht="15.75">
      <c r="A32" t="s">
        <v>9</v>
      </c>
      <c r="B32" t="s">
        <v>17</v>
      </c>
      <c r="C32">
        <f t="shared" ca="1" si="2"/>
        <v>5.3125</v>
      </c>
      <c r="D32">
        <f t="shared" ca="1" si="3"/>
        <v>2.3048861143232218</v>
      </c>
    </row>
    <row r="33" spans="1:4" ht="15.75">
      <c r="A33" t="s">
        <v>9</v>
      </c>
      <c r="B33" t="s">
        <v>8</v>
      </c>
      <c r="C33">
        <f t="shared" ca="1" si="2"/>
        <v>5.9589466094067252</v>
      </c>
      <c r="D33">
        <f t="shared" ca="1" si="3"/>
        <v>2.4410953708134233</v>
      </c>
    </row>
    <row r="34" spans="1:4" ht="15.75">
      <c r="A34" t="s">
        <v>14</v>
      </c>
      <c r="B34" t="s">
        <v>15</v>
      </c>
      <c r="C34">
        <f t="shared" ca="1" si="2"/>
        <v>2.3002525316941664</v>
      </c>
      <c r="D34">
        <f t="shared" ca="1" si="3"/>
        <v>1.516658343759123</v>
      </c>
    </row>
    <row r="35" spans="1:4" ht="15.75">
      <c r="A35" t="s">
        <v>14</v>
      </c>
      <c r="B35" t="s">
        <v>16</v>
      </c>
      <c r="C35">
        <f t="shared" ca="1" si="2"/>
        <v>3.2107864376269037</v>
      </c>
      <c r="D35">
        <f t="shared" ca="1" si="3"/>
        <v>1.7918667466156359</v>
      </c>
    </row>
    <row r="36" spans="1:4" ht="15.75">
      <c r="A36" t="s">
        <v>14</v>
      </c>
      <c r="B36" t="s">
        <v>17</v>
      </c>
      <c r="C36">
        <f t="shared" ca="1" si="2"/>
        <v>4.4589466094067252</v>
      </c>
      <c r="D36">
        <f t="shared" ca="1" si="3"/>
        <v>2.111621796015263</v>
      </c>
    </row>
    <row r="37" spans="1:4" ht="15.75">
      <c r="A37" t="s">
        <v>14</v>
      </c>
      <c r="B37" t="s">
        <v>8</v>
      </c>
      <c r="C37">
        <f t="shared" ca="1" si="2"/>
        <v>3.8124999999999973</v>
      </c>
      <c r="D37">
        <f t="shared" ca="1" si="3"/>
        <v>1.9525624189766628</v>
      </c>
    </row>
    <row r="38" spans="1:4" ht="15.75">
      <c r="A38" t="s">
        <v>15</v>
      </c>
      <c r="B38" t="s">
        <v>16</v>
      </c>
      <c r="C38">
        <f t="shared" ca="1" si="2"/>
        <v>5.125</v>
      </c>
      <c r="D38">
        <f t="shared" ca="1" si="3"/>
        <v>2.2638462845343543</v>
      </c>
    </row>
    <row r="39" spans="1:4" ht="15.75">
      <c r="A39" t="s">
        <v>15</v>
      </c>
      <c r="B39" t="s">
        <v>17</v>
      </c>
      <c r="C39">
        <f t="shared" ca="1" si="2"/>
        <v>7.8125</v>
      </c>
      <c r="D39">
        <f t="shared" ca="1" si="3"/>
        <v>2.7950849718747373</v>
      </c>
    </row>
    <row r="40" spans="1:4" ht="15.75">
      <c r="A40" t="s">
        <v>15</v>
      </c>
      <c r="B40" t="s">
        <v>8</v>
      </c>
      <c r="C40">
        <f t="shared" ca="1" si="2"/>
        <v>4.2163059222874395</v>
      </c>
      <c r="D40">
        <f t="shared" ca="1" si="3"/>
        <v>2.0533645371164466</v>
      </c>
    </row>
    <row r="41" spans="1:4" ht="15.75">
      <c r="A41" t="s">
        <v>16</v>
      </c>
      <c r="B41" t="s">
        <v>17</v>
      </c>
      <c r="C41">
        <f t="shared" ca="1" si="2"/>
        <v>0.3125</v>
      </c>
      <c r="D41">
        <f t="shared" ca="1" si="3"/>
        <v>0.55901699437494745</v>
      </c>
    </row>
    <row r="42" spans="1:4" ht="15.75">
      <c r="A42" t="s">
        <v>16</v>
      </c>
      <c r="B42" t="s">
        <v>8</v>
      </c>
      <c r="C42">
        <f t="shared" ca="1" si="2"/>
        <v>0.25183982822017881</v>
      </c>
      <c r="D42">
        <f t="shared" ca="1" si="3"/>
        <v>0.50183645565082136</v>
      </c>
    </row>
    <row r="43" spans="1:4" ht="15.75">
      <c r="A43" t="s">
        <v>17</v>
      </c>
      <c r="B43" t="s">
        <v>8</v>
      </c>
      <c r="C43">
        <f t="shared" ca="1" si="2"/>
        <v>1.0000000000000004</v>
      </c>
      <c r="D43">
        <f t="shared" ca="1" si="3"/>
        <v>1.0000000000000002</v>
      </c>
    </row>
    <row r="44" spans="1:4" ht="16.5" thickBot="1">
      <c r="A44"/>
      <c r="B44"/>
      <c r="C44" s="82">
        <f ca="1">SUM(C23:C43)</f>
        <v>74.043524548048865</v>
      </c>
      <c r="D44" s="82">
        <f ca="1">SUM(D23:D43)</f>
        <v>36.544703278938911</v>
      </c>
    </row>
    <row r="45" spans="1:4" ht="15.75" thickTop="1"/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/>
  <dimension ref="B2:L25"/>
  <sheetViews>
    <sheetView workbookViewId="0"/>
  </sheetViews>
  <sheetFormatPr defaultColWidth="10" defaultRowHeight="15.75"/>
  <cols>
    <col min="1" max="1" width="10" style="3" customWidth="1"/>
    <col min="2" max="2" width="15.28515625" style="52" customWidth="1"/>
    <col min="3" max="8" width="10" style="52"/>
    <col min="9" max="9" width="13.7109375" style="3" customWidth="1"/>
    <col min="10" max="255" width="10" style="3"/>
    <col min="256" max="256" width="10" style="3" customWidth="1"/>
    <col min="257" max="257" width="15.28515625" style="3" customWidth="1"/>
    <col min="258" max="511" width="10" style="3"/>
    <col min="512" max="512" width="10" style="3" customWidth="1"/>
    <col min="513" max="513" width="15.28515625" style="3" customWidth="1"/>
    <col min="514" max="767" width="10" style="3"/>
    <col min="768" max="768" width="10" style="3" customWidth="1"/>
    <col min="769" max="769" width="15.28515625" style="3" customWidth="1"/>
    <col min="770" max="1023" width="10" style="3"/>
    <col min="1024" max="1024" width="10" style="3" customWidth="1"/>
    <col min="1025" max="1025" width="15.28515625" style="3" customWidth="1"/>
    <col min="1026" max="1279" width="10" style="3"/>
    <col min="1280" max="1280" width="10" style="3" customWidth="1"/>
    <col min="1281" max="1281" width="15.28515625" style="3" customWidth="1"/>
    <col min="1282" max="1535" width="10" style="3"/>
    <col min="1536" max="1536" width="10" style="3" customWidth="1"/>
    <col min="1537" max="1537" width="15.28515625" style="3" customWidth="1"/>
    <col min="1538" max="1791" width="10" style="3"/>
    <col min="1792" max="1792" width="10" style="3" customWidth="1"/>
    <col min="1793" max="1793" width="15.28515625" style="3" customWidth="1"/>
    <col min="1794" max="2047" width="10" style="3"/>
    <col min="2048" max="2048" width="10" style="3" customWidth="1"/>
    <col min="2049" max="2049" width="15.28515625" style="3" customWidth="1"/>
    <col min="2050" max="2303" width="10" style="3"/>
    <col min="2304" max="2304" width="10" style="3" customWidth="1"/>
    <col min="2305" max="2305" width="15.28515625" style="3" customWidth="1"/>
    <col min="2306" max="2559" width="10" style="3"/>
    <col min="2560" max="2560" width="10" style="3" customWidth="1"/>
    <col min="2561" max="2561" width="15.28515625" style="3" customWidth="1"/>
    <col min="2562" max="2815" width="10" style="3"/>
    <col min="2816" max="2816" width="10" style="3" customWidth="1"/>
    <col min="2817" max="2817" width="15.28515625" style="3" customWidth="1"/>
    <col min="2818" max="3071" width="10" style="3"/>
    <col min="3072" max="3072" width="10" style="3" customWidth="1"/>
    <col min="3073" max="3073" width="15.28515625" style="3" customWidth="1"/>
    <col min="3074" max="3327" width="10" style="3"/>
    <col min="3328" max="3328" width="10" style="3" customWidth="1"/>
    <col min="3329" max="3329" width="15.28515625" style="3" customWidth="1"/>
    <col min="3330" max="3583" width="10" style="3"/>
    <col min="3584" max="3584" width="10" style="3" customWidth="1"/>
    <col min="3585" max="3585" width="15.28515625" style="3" customWidth="1"/>
    <col min="3586" max="3839" width="10" style="3"/>
    <col min="3840" max="3840" width="10" style="3" customWidth="1"/>
    <col min="3841" max="3841" width="15.28515625" style="3" customWidth="1"/>
    <col min="3842" max="4095" width="10" style="3"/>
    <col min="4096" max="4096" width="10" style="3" customWidth="1"/>
    <col min="4097" max="4097" width="15.28515625" style="3" customWidth="1"/>
    <col min="4098" max="4351" width="10" style="3"/>
    <col min="4352" max="4352" width="10" style="3" customWidth="1"/>
    <col min="4353" max="4353" width="15.28515625" style="3" customWidth="1"/>
    <col min="4354" max="4607" width="10" style="3"/>
    <col min="4608" max="4608" width="10" style="3" customWidth="1"/>
    <col min="4609" max="4609" width="15.28515625" style="3" customWidth="1"/>
    <col min="4610" max="4863" width="10" style="3"/>
    <col min="4864" max="4864" width="10" style="3" customWidth="1"/>
    <col min="4865" max="4865" width="15.28515625" style="3" customWidth="1"/>
    <col min="4866" max="5119" width="10" style="3"/>
    <col min="5120" max="5120" width="10" style="3" customWidth="1"/>
    <col min="5121" max="5121" width="15.28515625" style="3" customWidth="1"/>
    <col min="5122" max="5375" width="10" style="3"/>
    <col min="5376" max="5376" width="10" style="3" customWidth="1"/>
    <col min="5377" max="5377" width="15.28515625" style="3" customWidth="1"/>
    <col min="5378" max="5631" width="10" style="3"/>
    <col min="5632" max="5632" width="10" style="3" customWidth="1"/>
    <col min="5633" max="5633" width="15.28515625" style="3" customWidth="1"/>
    <col min="5634" max="5887" width="10" style="3"/>
    <col min="5888" max="5888" width="10" style="3" customWidth="1"/>
    <col min="5889" max="5889" width="15.28515625" style="3" customWidth="1"/>
    <col min="5890" max="6143" width="10" style="3"/>
    <col min="6144" max="6144" width="10" style="3" customWidth="1"/>
    <col min="6145" max="6145" width="15.28515625" style="3" customWidth="1"/>
    <col min="6146" max="6399" width="10" style="3"/>
    <col min="6400" max="6400" width="10" style="3" customWidth="1"/>
    <col min="6401" max="6401" width="15.28515625" style="3" customWidth="1"/>
    <col min="6402" max="6655" width="10" style="3"/>
    <col min="6656" max="6656" width="10" style="3" customWidth="1"/>
    <col min="6657" max="6657" width="15.28515625" style="3" customWidth="1"/>
    <col min="6658" max="6911" width="10" style="3"/>
    <col min="6912" max="6912" width="10" style="3" customWidth="1"/>
    <col min="6913" max="6913" width="15.28515625" style="3" customWidth="1"/>
    <col min="6914" max="7167" width="10" style="3"/>
    <col min="7168" max="7168" width="10" style="3" customWidth="1"/>
    <col min="7169" max="7169" width="15.28515625" style="3" customWidth="1"/>
    <col min="7170" max="7423" width="10" style="3"/>
    <col min="7424" max="7424" width="10" style="3" customWidth="1"/>
    <col min="7425" max="7425" width="15.28515625" style="3" customWidth="1"/>
    <col min="7426" max="7679" width="10" style="3"/>
    <col min="7680" max="7680" width="10" style="3" customWidth="1"/>
    <col min="7681" max="7681" width="15.28515625" style="3" customWidth="1"/>
    <col min="7682" max="7935" width="10" style="3"/>
    <col min="7936" max="7936" width="10" style="3" customWidth="1"/>
    <col min="7937" max="7937" width="15.28515625" style="3" customWidth="1"/>
    <col min="7938" max="8191" width="10" style="3"/>
    <col min="8192" max="8192" width="10" style="3" customWidth="1"/>
    <col min="8193" max="8193" width="15.28515625" style="3" customWidth="1"/>
    <col min="8194" max="8447" width="10" style="3"/>
    <col min="8448" max="8448" width="10" style="3" customWidth="1"/>
    <col min="8449" max="8449" width="15.28515625" style="3" customWidth="1"/>
    <col min="8450" max="8703" width="10" style="3"/>
    <col min="8704" max="8704" width="10" style="3" customWidth="1"/>
    <col min="8705" max="8705" width="15.28515625" style="3" customWidth="1"/>
    <col min="8706" max="8959" width="10" style="3"/>
    <col min="8960" max="8960" width="10" style="3" customWidth="1"/>
    <col min="8961" max="8961" width="15.28515625" style="3" customWidth="1"/>
    <col min="8962" max="9215" width="10" style="3"/>
    <col min="9216" max="9216" width="10" style="3" customWidth="1"/>
    <col min="9217" max="9217" width="15.28515625" style="3" customWidth="1"/>
    <col min="9218" max="9471" width="10" style="3"/>
    <col min="9472" max="9472" width="10" style="3" customWidth="1"/>
    <col min="9473" max="9473" width="15.28515625" style="3" customWidth="1"/>
    <col min="9474" max="9727" width="10" style="3"/>
    <col min="9728" max="9728" width="10" style="3" customWidth="1"/>
    <col min="9729" max="9729" width="15.28515625" style="3" customWidth="1"/>
    <col min="9730" max="9983" width="10" style="3"/>
    <col min="9984" max="9984" width="10" style="3" customWidth="1"/>
    <col min="9985" max="9985" width="15.28515625" style="3" customWidth="1"/>
    <col min="9986" max="10239" width="10" style="3"/>
    <col min="10240" max="10240" width="10" style="3" customWidth="1"/>
    <col min="10241" max="10241" width="15.28515625" style="3" customWidth="1"/>
    <col min="10242" max="10495" width="10" style="3"/>
    <col min="10496" max="10496" width="10" style="3" customWidth="1"/>
    <col min="10497" max="10497" width="15.28515625" style="3" customWidth="1"/>
    <col min="10498" max="10751" width="10" style="3"/>
    <col min="10752" max="10752" width="10" style="3" customWidth="1"/>
    <col min="10753" max="10753" width="15.28515625" style="3" customWidth="1"/>
    <col min="10754" max="11007" width="10" style="3"/>
    <col min="11008" max="11008" width="10" style="3" customWidth="1"/>
    <col min="11009" max="11009" width="15.28515625" style="3" customWidth="1"/>
    <col min="11010" max="11263" width="10" style="3"/>
    <col min="11264" max="11264" width="10" style="3" customWidth="1"/>
    <col min="11265" max="11265" width="15.28515625" style="3" customWidth="1"/>
    <col min="11266" max="11519" width="10" style="3"/>
    <col min="11520" max="11520" width="10" style="3" customWidth="1"/>
    <col min="11521" max="11521" width="15.28515625" style="3" customWidth="1"/>
    <col min="11522" max="11775" width="10" style="3"/>
    <col min="11776" max="11776" width="10" style="3" customWidth="1"/>
    <col min="11777" max="11777" width="15.28515625" style="3" customWidth="1"/>
    <col min="11778" max="12031" width="10" style="3"/>
    <col min="12032" max="12032" width="10" style="3" customWidth="1"/>
    <col min="12033" max="12033" width="15.28515625" style="3" customWidth="1"/>
    <col min="12034" max="12287" width="10" style="3"/>
    <col min="12288" max="12288" width="10" style="3" customWidth="1"/>
    <col min="12289" max="12289" width="15.28515625" style="3" customWidth="1"/>
    <col min="12290" max="12543" width="10" style="3"/>
    <col min="12544" max="12544" width="10" style="3" customWidth="1"/>
    <col min="12545" max="12545" width="15.28515625" style="3" customWidth="1"/>
    <col min="12546" max="12799" width="10" style="3"/>
    <col min="12800" max="12800" width="10" style="3" customWidth="1"/>
    <col min="12801" max="12801" width="15.28515625" style="3" customWidth="1"/>
    <col min="12802" max="13055" width="10" style="3"/>
    <col min="13056" max="13056" width="10" style="3" customWidth="1"/>
    <col min="13057" max="13057" width="15.28515625" style="3" customWidth="1"/>
    <col min="13058" max="13311" width="10" style="3"/>
    <col min="13312" max="13312" width="10" style="3" customWidth="1"/>
    <col min="13313" max="13313" width="15.28515625" style="3" customWidth="1"/>
    <col min="13314" max="13567" width="10" style="3"/>
    <col min="13568" max="13568" width="10" style="3" customWidth="1"/>
    <col min="13569" max="13569" width="15.28515625" style="3" customWidth="1"/>
    <col min="13570" max="13823" width="10" style="3"/>
    <col min="13824" max="13824" width="10" style="3" customWidth="1"/>
    <col min="13825" max="13825" width="15.28515625" style="3" customWidth="1"/>
    <col min="13826" max="14079" width="10" style="3"/>
    <col min="14080" max="14080" width="10" style="3" customWidth="1"/>
    <col min="14081" max="14081" width="15.28515625" style="3" customWidth="1"/>
    <col min="14082" max="14335" width="10" style="3"/>
    <col min="14336" max="14336" width="10" style="3" customWidth="1"/>
    <col min="14337" max="14337" width="15.28515625" style="3" customWidth="1"/>
    <col min="14338" max="14591" width="10" style="3"/>
    <col min="14592" max="14592" width="10" style="3" customWidth="1"/>
    <col min="14593" max="14593" width="15.28515625" style="3" customWidth="1"/>
    <col min="14594" max="14847" width="10" style="3"/>
    <col min="14848" max="14848" width="10" style="3" customWidth="1"/>
    <col min="14849" max="14849" width="15.28515625" style="3" customWidth="1"/>
    <col min="14850" max="15103" width="10" style="3"/>
    <col min="15104" max="15104" width="10" style="3" customWidth="1"/>
    <col min="15105" max="15105" width="15.28515625" style="3" customWidth="1"/>
    <col min="15106" max="15359" width="10" style="3"/>
    <col min="15360" max="15360" width="10" style="3" customWidth="1"/>
    <col min="15361" max="15361" width="15.28515625" style="3" customWidth="1"/>
    <col min="15362" max="15615" width="10" style="3"/>
    <col min="15616" max="15616" width="10" style="3" customWidth="1"/>
    <col min="15617" max="15617" width="15.28515625" style="3" customWidth="1"/>
    <col min="15618" max="15871" width="10" style="3"/>
    <col min="15872" max="15872" width="10" style="3" customWidth="1"/>
    <col min="15873" max="15873" width="15.28515625" style="3" customWidth="1"/>
    <col min="15874" max="16127" width="10" style="3"/>
    <col min="16128" max="16128" width="10" style="3" customWidth="1"/>
    <col min="16129" max="16129" width="15.28515625" style="3" customWidth="1"/>
    <col min="16130" max="16384" width="10" style="3"/>
  </cols>
  <sheetData>
    <row r="2" spans="2:12">
      <c r="C2" s="53" t="s">
        <v>13</v>
      </c>
      <c r="D2" s="53" t="s">
        <v>9</v>
      </c>
      <c r="E2" s="53" t="s">
        <v>14</v>
      </c>
      <c r="F2" s="53" t="s">
        <v>15</v>
      </c>
      <c r="G2" s="53" t="s">
        <v>16</v>
      </c>
      <c r="I2" s="55" t="s">
        <v>60</v>
      </c>
      <c r="J2" s="53" t="s">
        <v>14</v>
      </c>
      <c r="K2" s="53" t="s">
        <v>15</v>
      </c>
      <c r="L2" s="53" t="s">
        <v>61</v>
      </c>
    </row>
    <row r="3" spans="2:12">
      <c r="B3" s="53" t="s">
        <v>13</v>
      </c>
      <c r="C3" s="2"/>
      <c r="D3" s="2"/>
      <c r="E3" s="2"/>
      <c r="F3" s="2"/>
      <c r="G3" s="2"/>
      <c r="I3" s="53" t="s">
        <v>13</v>
      </c>
      <c r="J3" s="2">
        <f>C5</f>
        <v>14</v>
      </c>
      <c r="K3" s="2">
        <f>C6</f>
        <v>13</v>
      </c>
      <c r="L3" s="57">
        <f>MAX(J3:K3)</f>
        <v>14</v>
      </c>
    </row>
    <row r="4" spans="2:12">
      <c r="B4" s="53" t="s">
        <v>9</v>
      </c>
      <c r="C4" s="2">
        <v>9</v>
      </c>
      <c r="D4" s="2"/>
      <c r="E4" s="2"/>
      <c r="F4" s="2"/>
      <c r="G4" s="2"/>
      <c r="I4" s="53" t="s">
        <v>9</v>
      </c>
      <c r="J4" s="2">
        <f>D5</f>
        <v>6</v>
      </c>
      <c r="K4" s="2">
        <f>D6</f>
        <v>16</v>
      </c>
      <c r="L4" s="57">
        <f>MAX(J4:K4)</f>
        <v>16</v>
      </c>
    </row>
    <row r="5" spans="2:12" ht="16.5" thickBot="1">
      <c r="B5" s="53" t="s">
        <v>14</v>
      </c>
      <c r="C5" s="2">
        <v>14</v>
      </c>
      <c r="D5" s="2">
        <v>6</v>
      </c>
      <c r="E5" s="2"/>
      <c r="F5" s="2"/>
      <c r="G5" s="2"/>
      <c r="I5" s="53" t="s">
        <v>16</v>
      </c>
      <c r="J5" s="2">
        <f>E7</f>
        <v>12</v>
      </c>
      <c r="K5" s="2">
        <f>F7</f>
        <v>15</v>
      </c>
      <c r="L5" s="57">
        <f>MAX(J5:K5)</f>
        <v>15</v>
      </c>
    </row>
    <row r="6" spans="2:12" ht="16.5" thickBot="1">
      <c r="B6" s="53" t="s">
        <v>15</v>
      </c>
      <c r="C6" s="2">
        <v>13</v>
      </c>
      <c r="D6" s="2">
        <v>16</v>
      </c>
      <c r="E6" s="66">
        <v>5</v>
      </c>
      <c r="F6" s="2"/>
      <c r="G6" s="2"/>
      <c r="I6" s="31" t="s">
        <v>65</v>
      </c>
    </row>
    <row r="7" spans="2:12">
      <c r="B7" s="53" t="s">
        <v>16</v>
      </c>
      <c r="C7" s="2">
        <v>8</v>
      </c>
      <c r="D7" s="2">
        <v>14</v>
      </c>
      <c r="E7" s="2">
        <v>12</v>
      </c>
      <c r="F7" s="2">
        <v>15</v>
      </c>
      <c r="G7" s="2"/>
    </row>
    <row r="8" spans="2:12">
      <c r="D8" s="54"/>
    </row>
    <row r="10" spans="2:12">
      <c r="C10" s="53" t="s">
        <v>62</v>
      </c>
      <c r="D10" s="53" t="s">
        <v>13</v>
      </c>
      <c r="E10" s="53" t="s">
        <v>9</v>
      </c>
      <c r="F10" s="53" t="s">
        <v>16</v>
      </c>
      <c r="I10" s="55" t="s">
        <v>63</v>
      </c>
      <c r="J10" s="53" t="s">
        <v>13</v>
      </c>
      <c r="K10" s="53" t="s">
        <v>16</v>
      </c>
      <c r="L10" s="53" t="s">
        <v>61</v>
      </c>
    </row>
    <row r="11" spans="2:12">
      <c r="B11" s="53" t="s">
        <v>62</v>
      </c>
      <c r="C11" s="2"/>
      <c r="D11" s="2"/>
      <c r="E11" s="2"/>
      <c r="F11" s="2"/>
      <c r="G11" s="2"/>
      <c r="I11" s="53" t="s">
        <v>62</v>
      </c>
      <c r="J11" s="2">
        <f>C12</f>
        <v>14</v>
      </c>
      <c r="K11" s="2">
        <f>C14</f>
        <v>15</v>
      </c>
      <c r="L11" s="57">
        <f>MAX(J11:K11)</f>
        <v>15</v>
      </c>
    </row>
    <row r="12" spans="2:12">
      <c r="B12" s="53" t="s">
        <v>13</v>
      </c>
      <c r="C12" s="57">
        <f>L3</f>
        <v>14</v>
      </c>
      <c r="D12" s="2"/>
      <c r="E12" s="2"/>
      <c r="F12" s="2"/>
      <c r="G12" s="2"/>
      <c r="I12" s="53" t="s">
        <v>9</v>
      </c>
      <c r="J12" s="2">
        <f>D13</f>
        <v>9</v>
      </c>
      <c r="K12" s="2">
        <f>E14</f>
        <v>14</v>
      </c>
      <c r="L12" s="57">
        <f>MAX(J12:K12)</f>
        <v>14</v>
      </c>
    </row>
    <row r="13" spans="2:12" ht="16.5" thickBot="1">
      <c r="B13" s="53" t="s">
        <v>9</v>
      </c>
      <c r="C13" s="57">
        <f>L4</f>
        <v>16</v>
      </c>
      <c r="D13" s="2">
        <f>C4</f>
        <v>9</v>
      </c>
      <c r="E13" s="2"/>
      <c r="F13" s="2"/>
      <c r="G13" s="2"/>
      <c r="I13" s="31" t="s">
        <v>65</v>
      </c>
    </row>
    <row r="14" spans="2:12" ht="16.5" thickBot="1">
      <c r="B14" s="53" t="s">
        <v>16</v>
      </c>
      <c r="C14" s="57">
        <f>L5</f>
        <v>15</v>
      </c>
      <c r="D14" s="66">
        <f>C7</f>
        <v>8</v>
      </c>
      <c r="E14" s="2">
        <f>D7</f>
        <v>14</v>
      </c>
      <c r="F14" s="2"/>
      <c r="I14" s="31" t="s">
        <v>66</v>
      </c>
    </row>
    <row r="17" spans="2:12">
      <c r="C17" s="53" t="s">
        <v>62</v>
      </c>
      <c r="D17" s="53" t="s">
        <v>64</v>
      </c>
      <c r="E17" s="53" t="s">
        <v>9</v>
      </c>
      <c r="I17" s="55" t="s">
        <v>63</v>
      </c>
      <c r="J17" s="53" t="s">
        <v>64</v>
      </c>
      <c r="K17" s="53" t="s">
        <v>9</v>
      </c>
      <c r="L17" s="53" t="s">
        <v>61</v>
      </c>
    </row>
    <row r="18" spans="2:12">
      <c r="B18" s="53" t="s">
        <v>62</v>
      </c>
      <c r="C18" s="2"/>
      <c r="D18" s="2"/>
      <c r="E18" s="2"/>
      <c r="F18" s="2"/>
      <c r="I18" s="53" t="s">
        <v>62</v>
      </c>
      <c r="J18" s="52">
        <f>C19</f>
        <v>15</v>
      </c>
      <c r="K18" s="52">
        <f>C20</f>
        <v>16</v>
      </c>
      <c r="L18" s="56">
        <f>MAX(I18:K18)</f>
        <v>16</v>
      </c>
    </row>
    <row r="19" spans="2:12" ht="16.5" thickBot="1">
      <c r="B19" s="53" t="s">
        <v>64</v>
      </c>
      <c r="C19" s="57">
        <f>L11</f>
        <v>15</v>
      </c>
      <c r="D19" s="2"/>
      <c r="E19" s="2"/>
      <c r="F19" s="2"/>
      <c r="I19" s="31" t="s">
        <v>65</v>
      </c>
    </row>
    <row r="20" spans="2:12" ht="16.5" thickBot="1">
      <c r="B20" s="53" t="s">
        <v>9</v>
      </c>
      <c r="C20" s="2">
        <f>C13</f>
        <v>16</v>
      </c>
      <c r="D20" s="67">
        <f>L12</f>
        <v>14</v>
      </c>
      <c r="E20" s="2"/>
      <c r="F20" s="2"/>
      <c r="I20" s="31" t="s">
        <v>67</v>
      </c>
    </row>
    <row r="23" spans="2:12">
      <c r="C23" s="53" t="s">
        <v>62</v>
      </c>
      <c r="D23" s="53" t="s">
        <v>64</v>
      </c>
    </row>
    <row r="24" spans="2:12">
      <c r="B24" s="53" t="s">
        <v>62</v>
      </c>
      <c r="C24" s="2"/>
      <c r="D24" s="2"/>
      <c r="E24" s="2"/>
    </row>
    <row r="25" spans="2:12">
      <c r="B25" s="53" t="s">
        <v>64</v>
      </c>
      <c r="C25" s="2">
        <f>L18</f>
        <v>16</v>
      </c>
      <c r="D25" s="2"/>
      <c r="E2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F3"/>
  <sheetViews>
    <sheetView workbookViewId="0">
      <pane ySplit="1" topLeftCell="A2" activePane="bottomLeft" state="frozen"/>
      <selection pane="bottomLeft" activeCell="B2" sqref="B2"/>
    </sheetView>
  </sheetViews>
  <sheetFormatPr defaultColWidth="9.140625" defaultRowHeight="15"/>
  <cols>
    <col min="1" max="6" width="13.7109375" customWidth="1"/>
  </cols>
  <sheetData>
    <row r="1" spans="1:6" ht="15.75">
      <c r="A1" s="65" t="s">
        <v>82</v>
      </c>
      <c r="B1" s="65" t="s">
        <v>79</v>
      </c>
      <c r="C1" s="65" t="s">
        <v>80</v>
      </c>
      <c r="D1" s="65" t="s">
        <v>81</v>
      </c>
      <c r="E1" s="65" t="s">
        <v>54</v>
      </c>
      <c r="F1" s="65" t="s">
        <v>86</v>
      </c>
    </row>
    <row r="2" spans="1:6">
      <c r="A2">
        <v>1</v>
      </c>
      <c r="B2">
        <v>4.3232233047033635</v>
      </c>
      <c r="C2">
        <v>3.323223304703363</v>
      </c>
      <c r="D2">
        <v>0</v>
      </c>
      <c r="E2">
        <v>7.6464466094067269</v>
      </c>
      <c r="F2">
        <v>0.814471269081945</v>
      </c>
    </row>
    <row r="3" spans="1:6">
      <c r="A3">
        <v>2</v>
      </c>
      <c r="B3">
        <v>3.1809644062711508</v>
      </c>
      <c r="C3">
        <v>4.8476310729378174</v>
      </c>
      <c r="D3">
        <v>0</v>
      </c>
      <c r="E3">
        <v>8.0285954792089687</v>
      </c>
      <c r="F3">
        <v>0.37549881195735657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/>
  <dimension ref="A1:G8"/>
  <sheetViews>
    <sheetView workbookViewId="0">
      <pane ySplit="1" topLeftCell="A2" activePane="bottomLeft" state="frozen"/>
      <selection pane="bottomLeft" activeCell="E5" sqref="E5"/>
    </sheetView>
  </sheetViews>
  <sheetFormatPr defaultColWidth="9.140625" defaultRowHeight="15"/>
  <cols>
    <col min="1" max="6" width="11.7109375" customWidth="1"/>
    <col min="7" max="7" width="13.7109375" customWidth="1"/>
  </cols>
  <sheetData>
    <row r="1" spans="1:7" ht="30">
      <c r="A1" s="65" t="s">
        <v>78</v>
      </c>
      <c r="B1" s="65" t="s">
        <v>79</v>
      </c>
      <c r="C1" s="65" t="s">
        <v>80</v>
      </c>
      <c r="D1" s="65" t="s">
        <v>81</v>
      </c>
      <c r="E1" s="65" t="s">
        <v>54</v>
      </c>
      <c r="F1" s="65" t="s">
        <v>82</v>
      </c>
      <c r="G1" s="65" t="s">
        <v>98</v>
      </c>
    </row>
    <row r="2" spans="1:7">
      <c r="A2" t="s">
        <v>13</v>
      </c>
      <c r="B2">
        <v>5</v>
      </c>
      <c r="C2">
        <v>4</v>
      </c>
      <c r="D2">
        <v>0</v>
      </c>
      <c r="E2">
        <f>SUM(B2:D2)</f>
        <v>9</v>
      </c>
      <c r="F2">
        <v>1</v>
      </c>
      <c r="G2">
        <v>0.95710678118654735</v>
      </c>
    </row>
    <row r="3" spans="1:7">
      <c r="A3" t="s">
        <v>9</v>
      </c>
      <c r="B3">
        <v>5</v>
      </c>
      <c r="C3">
        <v>3.5</v>
      </c>
      <c r="D3">
        <v>0</v>
      </c>
      <c r="E3">
        <f t="shared" ref="E3:E8" si="0">SUM(B3:D3)</f>
        <v>8.5</v>
      </c>
      <c r="F3">
        <v>1</v>
      </c>
      <c r="G3">
        <v>0.6994831629829531</v>
      </c>
    </row>
    <row r="4" spans="1:7">
      <c r="A4" t="s">
        <v>14</v>
      </c>
      <c r="B4">
        <v>4.2928932188134521</v>
      </c>
      <c r="C4">
        <v>3.2928932188134525</v>
      </c>
      <c r="D4">
        <v>0</v>
      </c>
      <c r="E4">
        <f t="shared" si="0"/>
        <v>7.5857864376269042</v>
      </c>
      <c r="F4">
        <v>1</v>
      </c>
      <c r="G4">
        <v>4.2893218813452878E-2</v>
      </c>
    </row>
    <row r="5" spans="1:7">
      <c r="A5" t="s">
        <v>15</v>
      </c>
      <c r="B5">
        <v>3</v>
      </c>
      <c r="C5">
        <v>2.5</v>
      </c>
      <c r="D5">
        <v>0</v>
      </c>
      <c r="E5">
        <f t="shared" si="0"/>
        <v>5.5</v>
      </c>
      <c r="F5">
        <v>1</v>
      </c>
      <c r="G5">
        <v>1.5584019133448266</v>
      </c>
    </row>
    <row r="6" spans="1:7">
      <c r="A6" t="s">
        <v>16</v>
      </c>
      <c r="B6">
        <v>3.25</v>
      </c>
      <c r="C6">
        <v>4.75</v>
      </c>
      <c r="D6">
        <v>0</v>
      </c>
      <c r="E6">
        <f t="shared" si="0"/>
        <v>8</v>
      </c>
      <c r="F6">
        <v>2</v>
      </c>
      <c r="G6">
        <v>0.11957315586905003</v>
      </c>
    </row>
    <row r="7" spans="1:7">
      <c r="A7" t="s">
        <v>17</v>
      </c>
      <c r="B7">
        <v>3.5</v>
      </c>
      <c r="C7">
        <v>5.25</v>
      </c>
      <c r="D7">
        <v>0</v>
      </c>
      <c r="E7">
        <f t="shared" si="0"/>
        <v>8.75</v>
      </c>
      <c r="F7">
        <v>2</v>
      </c>
      <c r="G7">
        <v>0.51350215533246923</v>
      </c>
    </row>
    <row r="8" spans="1:7">
      <c r="A8" t="s">
        <v>8</v>
      </c>
      <c r="B8">
        <v>2.7928932188134525</v>
      </c>
      <c r="C8">
        <v>4.5428932188134521</v>
      </c>
      <c r="D8">
        <v>0</v>
      </c>
      <c r="E8">
        <f t="shared" si="0"/>
        <v>7.3357864376269042</v>
      </c>
      <c r="F8">
        <v>2</v>
      </c>
      <c r="G8">
        <v>0.49342112467055049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/>
  <dimension ref="A1:G22"/>
  <sheetViews>
    <sheetView workbookViewId="0">
      <pane ySplit="1" topLeftCell="A2" activePane="bottomLeft" state="frozen"/>
      <selection pane="bottomLeft" activeCell="A6" sqref="A6"/>
    </sheetView>
  </sheetViews>
  <sheetFormatPr defaultColWidth="9.140625" defaultRowHeight="15"/>
  <cols>
    <col min="1" max="7" width="11.7109375" customWidth="1"/>
  </cols>
  <sheetData>
    <row r="1" spans="1:7" ht="15.75">
      <c r="A1" s="65" t="s">
        <v>83</v>
      </c>
      <c r="B1" s="65" t="s">
        <v>84</v>
      </c>
      <c r="C1" s="65" t="s">
        <v>85</v>
      </c>
      <c r="D1" s="65" t="s">
        <v>82</v>
      </c>
      <c r="E1" s="65" t="s">
        <v>87</v>
      </c>
      <c r="F1" s="65" t="s">
        <v>96</v>
      </c>
      <c r="G1" s="65" t="s">
        <v>97</v>
      </c>
    </row>
    <row r="2" spans="1:7">
      <c r="A2" t="s">
        <v>13</v>
      </c>
      <c r="B2" t="s">
        <v>9</v>
      </c>
      <c r="C2">
        <v>0.5</v>
      </c>
      <c r="D2">
        <v>1</v>
      </c>
      <c r="E2">
        <v>0.5</v>
      </c>
      <c r="F2">
        <v>-1</v>
      </c>
      <c r="G2">
        <v>0</v>
      </c>
    </row>
    <row r="3" spans="1:7">
      <c r="A3" t="s">
        <v>16</v>
      </c>
      <c r="B3" t="s">
        <v>8</v>
      </c>
      <c r="C3">
        <v>0.50183645565082136</v>
      </c>
      <c r="D3">
        <v>2</v>
      </c>
      <c r="E3">
        <v>0.50183645565082136</v>
      </c>
      <c r="F3">
        <v>-1</v>
      </c>
      <c r="G3">
        <v>0</v>
      </c>
    </row>
    <row r="4" spans="1:7">
      <c r="A4" t="s">
        <v>16</v>
      </c>
      <c r="B4" t="s">
        <v>17</v>
      </c>
      <c r="C4">
        <v>0.55901699437494745</v>
      </c>
      <c r="D4">
        <v>2</v>
      </c>
      <c r="E4">
        <v>0.77950849718747384</v>
      </c>
      <c r="F4">
        <v>-1</v>
      </c>
      <c r="G4">
        <v>0</v>
      </c>
    </row>
    <row r="5" spans="1:7">
      <c r="A5" t="s">
        <v>17</v>
      </c>
      <c r="B5" t="s">
        <v>8</v>
      </c>
      <c r="C5">
        <v>1.0000000000000002</v>
      </c>
      <c r="D5">
        <v>2</v>
      </c>
      <c r="E5">
        <v>0.77950849718747384</v>
      </c>
      <c r="F5">
        <v>-1</v>
      </c>
      <c r="G5">
        <v>0</v>
      </c>
    </row>
    <row r="6" spans="1:7">
      <c r="A6" t="s">
        <v>9</v>
      </c>
      <c r="B6" t="s">
        <v>14</v>
      </c>
      <c r="C6">
        <v>0.73681287910395066</v>
      </c>
      <c r="D6">
        <v>1</v>
      </c>
      <c r="E6">
        <v>0.8684064395519755</v>
      </c>
      <c r="F6">
        <v>-1</v>
      </c>
      <c r="G6">
        <v>0</v>
      </c>
    </row>
    <row r="7" spans="1:7">
      <c r="A7" t="s">
        <v>13</v>
      </c>
      <c r="B7" t="s">
        <v>14</v>
      </c>
      <c r="C7">
        <v>1.0000000000000002</v>
      </c>
      <c r="D7">
        <v>1</v>
      </c>
      <c r="E7">
        <v>0.8684064395519755</v>
      </c>
      <c r="F7">
        <v>-1</v>
      </c>
      <c r="G7">
        <v>0</v>
      </c>
    </row>
    <row r="8" spans="1:7">
      <c r="A8" t="s">
        <v>14</v>
      </c>
      <c r="B8" t="s">
        <v>16</v>
      </c>
      <c r="C8">
        <v>1.7918667466156359</v>
      </c>
      <c r="D8">
        <v>-1</v>
      </c>
      <c r="E8">
        <v>1.9520169872025204</v>
      </c>
      <c r="F8">
        <v>-1</v>
      </c>
      <c r="G8">
        <v>0</v>
      </c>
    </row>
    <row r="9" spans="1:7">
      <c r="A9" t="s">
        <v>14</v>
      </c>
      <c r="B9" t="s">
        <v>8</v>
      </c>
      <c r="C9">
        <v>1.9525624189766628</v>
      </c>
      <c r="D9">
        <v>-1</v>
      </c>
      <c r="E9">
        <v>1.9520169872025204</v>
      </c>
      <c r="F9">
        <v>-1</v>
      </c>
      <c r="G9">
        <v>0</v>
      </c>
    </row>
    <row r="10" spans="1:7">
      <c r="A10" t="s">
        <v>14</v>
      </c>
      <c r="B10" t="s">
        <v>17</v>
      </c>
      <c r="C10">
        <v>2.111621796015263</v>
      </c>
      <c r="D10">
        <v>-1</v>
      </c>
      <c r="E10">
        <v>1.9520169872025204</v>
      </c>
      <c r="F10">
        <v>-1</v>
      </c>
      <c r="G10">
        <v>0</v>
      </c>
    </row>
    <row r="11" spans="1:7">
      <c r="A11" t="s">
        <v>13</v>
      </c>
      <c r="B11" t="s">
        <v>16</v>
      </c>
      <c r="C11">
        <v>1.9039432764659772</v>
      </c>
      <c r="D11">
        <v>-1</v>
      </c>
      <c r="E11">
        <v>2.0272622966133169</v>
      </c>
      <c r="F11">
        <v>-1</v>
      </c>
      <c r="G11">
        <v>0</v>
      </c>
    </row>
    <row r="12" spans="1:7">
      <c r="A12" t="s">
        <v>9</v>
      </c>
      <c r="B12" t="s">
        <v>16</v>
      </c>
      <c r="C12">
        <v>2.1505813167606567</v>
      </c>
      <c r="D12">
        <v>-1</v>
      </c>
      <c r="E12">
        <v>2.0272622966133169</v>
      </c>
      <c r="F12">
        <v>-1</v>
      </c>
      <c r="G12">
        <v>0</v>
      </c>
    </row>
    <row r="13" spans="1:7">
      <c r="A13" t="s">
        <v>14</v>
      </c>
      <c r="B13" t="s">
        <v>15</v>
      </c>
      <c r="C13">
        <v>1.516658343759123</v>
      </c>
      <c r="D13">
        <v>1</v>
      </c>
      <c r="E13">
        <v>2.0842421070863044</v>
      </c>
      <c r="F13">
        <v>-1</v>
      </c>
      <c r="G13">
        <v>-1</v>
      </c>
    </row>
    <row r="14" spans="1:7">
      <c r="A14" t="s">
        <v>9</v>
      </c>
      <c r="B14" t="s">
        <v>15</v>
      </c>
      <c r="C14">
        <v>2.2360679774997898</v>
      </c>
      <c r="D14">
        <v>1</v>
      </c>
      <c r="E14">
        <v>2.0842421070863044</v>
      </c>
      <c r="F14">
        <v>-1</v>
      </c>
      <c r="G14">
        <v>-1</v>
      </c>
    </row>
    <row r="15" spans="1:7">
      <c r="A15" t="s">
        <v>13</v>
      </c>
      <c r="B15" t="s">
        <v>15</v>
      </c>
      <c r="C15">
        <v>2.5</v>
      </c>
      <c r="D15">
        <v>1</v>
      </c>
      <c r="E15">
        <v>2.0842421070863044</v>
      </c>
      <c r="F15">
        <v>-1</v>
      </c>
      <c r="G15">
        <v>-1</v>
      </c>
    </row>
    <row r="16" spans="1:7">
      <c r="A16" t="s">
        <v>13</v>
      </c>
      <c r="B16" t="s">
        <v>17</v>
      </c>
      <c r="C16">
        <v>1.9525624189766635</v>
      </c>
      <c r="D16">
        <v>-1</v>
      </c>
      <c r="E16">
        <v>2.1287242666499426</v>
      </c>
      <c r="F16">
        <v>-1</v>
      </c>
      <c r="G16">
        <v>0</v>
      </c>
    </row>
    <row r="17" spans="1:7">
      <c r="A17" t="s">
        <v>9</v>
      </c>
      <c r="B17" t="s">
        <v>17</v>
      </c>
      <c r="C17">
        <v>2.3048861143232218</v>
      </c>
      <c r="D17">
        <v>-1</v>
      </c>
      <c r="E17">
        <v>2.1287242666499426</v>
      </c>
      <c r="F17">
        <v>-1</v>
      </c>
      <c r="G17">
        <v>0</v>
      </c>
    </row>
    <row r="18" spans="1:7">
      <c r="A18" t="s">
        <v>13</v>
      </c>
      <c r="B18" t="s">
        <v>8</v>
      </c>
      <c r="C18">
        <v>2.2728953760772344</v>
      </c>
      <c r="D18">
        <v>-1</v>
      </c>
      <c r="E18">
        <v>2.3569953734453288</v>
      </c>
      <c r="F18">
        <v>-1</v>
      </c>
      <c r="G18">
        <v>0</v>
      </c>
    </row>
    <row r="19" spans="1:7">
      <c r="A19" t="s">
        <v>9</v>
      </c>
      <c r="B19" t="s">
        <v>8</v>
      </c>
      <c r="C19">
        <v>2.4410953708134233</v>
      </c>
      <c r="D19">
        <v>-1</v>
      </c>
      <c r="E19">
        <v>2.3569953734453288</v>
      </c>
      <c r="F19">
        <v>-1</v>
      </c>
      <c r="G19">
        <v>0</v>
      </c>
    </row>
    <row r="20" spans="1:7">
      <c r="A20" t="s">
        <v>15</v>
      </c>
      <c r="B20" t="s">
        <v>8</v>
      </c>
      <c r="C20">
        <v>2.0533645371164466</v>
      </c>
      <c r="D20">
        <v>-1</v>
      </c>
      <c r="E20">
        <v>2.3707652645085129</v>
      </c>
      <c r="F20">
        <v>0</v>
      </c>
      <c r="G20">
        <v>-1</v>
      </c>
    </row>
    <row r="21" spans="1:7">
      <c r="A21" t="s">
        <v>15</v>
      </c>
      <c r="B21" t="s">
        <v>16</v>
      </c>
      <c r="C21">
        <v>2.2638462845343543</v>
      </c>
      <c r="D21">
        <v>-1</v>
      </c>
      <c r="E21">
        <v>2.3707652645085129</v>
      </c>
      <c r="F21">
        <v>0</v>
      </c>
      <c r="G21">
        <v>-1</v>
      </c>
    </row>
    <row r="22" spans="1:7">
      <c r="A22" t="s">
        <v>15</v>
      </c>
      <c r="B22" t="s">
        <v>17</v>
      </c>
      <c r="C22">
        <v>2.7950849718747373</v>
      </c>
      <c r="D22">
        <v>-1</v>
      </c>
      <c r="E22">
        <v>2.3707652645085129</v>
      </c>
      <c r="F22">
        <v>0</v>
      </c>
      <c r="G22">
        <v>-1</v>
      </c>
    </row>
  </sheetData>
  <sortState xmlns:xlrd2="http://schemas.microsoft.com/office/spreadsheetml/2017/richdata2" ref="A2:G22">
    <sortCondition ref="E1"/>
  </sortState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AC19"/>
  <sheetViews>
    <sheetView zoomScale="65" workbookViewId="0">
      <selection activeCell="Q7" sqref="Q7"/>
    </sheetView>
  </sheetViews>
  <sheetFormatPr defaultColWidth="8.85546875" defaultRowHeight="15"/>
  <cols>
    <col min="1" max="1" width="5.140625" style="3" customWidth="1"/>
    <col min="2" max="2" width="6.28515625" style="3" customWidth="1"/>
    <col min="3" max="3" width="5.140625" style="3" customWidth="1"/>
    <col min="4" max="4" width="6.28515625" style="3" customWidth="1"/>
    <col min="5" max="5" width="5.140625" style="3" customWidth="1"/>
    <col min="6" max="6" width="6.28515625" style="3" customWidth="1"/>
    <col min="7" max="8" width="5.140625" style="3" customWidth="1"/>
    <col min="9" max="23" width="6.28515625" style="3" customWidth="1"/>
    <col min="24" max="255" width="8.85546875" style="3"/>
    <col min="256" max="256" width="5.140625" style="3" customWidth="1"/>
    <col min="257" max="257" width="6.28515625" style="3" customWidth="1"/>
    <col min="258" max="258" width="5.140625" style="3" customWidth="1"/>
    <col min="259" max="259" width="6.28515625" style="3" customWidth="1"/>
    <col min="260" max="260" width="5.140625" style="3" customWidth="1"/>
    <col min="261" max="261" width="6.28515625" style="3" customWidth="1"/>
    <col min="262" max="263" width="5.140625" style="3" customWidth="1"/>
    <col min="264" max="278" width="6.28515625" style="3" customWidth="1"/>
    <col min="279" max="511" width="8.85546875" style="3"/>
    <col min="512" max="512" width="5.140625" style="3" customWidth="1"/>
    <col min="513" max="513" width="6.28515625" style="3" customWidth="1"/>
    <col min="514" max="514" width="5.140625" style="3" customWidth="1"/>
    <col min="515" max="515" width="6.28515625" style="3" customWidth="1"/>
    <col min="516" max="516" width="5.140625" style="3" customWidth="1"/>
    <col min="517" max="517" width="6.28515625" style="3" customWidth="1"/>
    <col min="518" max="519" width="5.140625" style="3" customWidth="1"/>
    <col min="520" max="534" width="6.28515625" style="3" customWidth="1"/>
    <col min="535" max="767" width="8.85546875" style="3"/>
    <col min="768" max="768" width="5.140625" style="3" customWidth="1"/>
    <col min="769" max="769" width="6.28515625" style="3" customWidth="1"/>
    <col min="770" max="770" width="5.140625" style="3" customWidth="1"/>
    <col min="771" max="771" width="6.28515625" style="3" customWidth="1"/>
    <col min="772" max="772" width="5.140625" style="3" customWidth="1"/>
    <col min="773" max="773" width="6.28515625" style="3" customWidth="1"/>
    <col min="774" max="775" width="5.140625" style="3" customWidth="1"/>
    <col min="776" max="790" width="6.28515625" style="3" customWidth="1"/>
    <col min="791" max="1023" width="8.85546875" style="3"/>
    <col min="1024" max="1024" width="5.140625" style="3" customWidth="1"/>
    <col min="1025" max="1025" width="6.28515625" style="3" customWidth="1"/>
    <col min="1026" max="1026" width="5.140625" style="3" customWidth="1"/>
    <col min="1027" max="1027" width="6.28515625" style="3" customWidth="1"/>
    <col min="1028" max="1028" width="5.140625" style="3" customWidth="1"/>
    <col min="1029" max="1029" width="6.28515625" style="3" customWidth="1"/>
    <col min="1030" max="1031" width="5.140625" style="3" customWidth="1"/>
    <col min="1032" max="1046" width="6.28515625" style="3" customWidth="1"/>
    <col min="1047" max="1279" width="8.85546875" style="3"/>
    <col min="1280" max="1280" width="5.140625" style="3" customWidth="1"/>
    <col min="1281" max="1281" width="6.28515625" style="3" customWidth="1"/>
    <col min="1282" max="1282" width="5.140625" style="3" customWidth="1"/>
    <col min="1283" max="1283" width="6.28515625" style="3" customWidth="1"/>
    <col min="1284" max="1284" width="5.140625" style="3" customWidth="1"/>
    <col min="1285" max="1285" width="6.28515625" style="3" customWidth="1"/>
    <col min="1286" max="1287" width="5.140625" style="3" customWidth="1"/>
    <col min="1288" max="1302" width="6.28515625" style="3" customWidth="1"/>
    <col min="1303" max="1535" width="8.85546875" style="3"/>
    <col min="1536" max="1536" width="5.140625" style="3" customWidth="1"/>
    <col min="1537" max="1537" width="6.28515625" style="3" customWidth="1"/>
    <col min="1538" max="1538" width="5.140625" style="3" customWidth="1"/>
    <col min="1539" max="1539" width="6.28515625" style="3" customWidth="1"/>
    <col min="1540" max="1540" width="5.140625" style="3" customWidth="1"/>
    <col min="1541" max="1541" width="6.28515625" style="3" customWidth="1"/>
    <col min="1542" max="1543" width="5.140625" style="3" customWidth="1"/>
    <col min="1544" max="1558" width="6.28515625" style="3" customWidth="1"/>
    <col min="1559" max="1791" width="8.85546875" style="3"/>
    <col min="1792" max="1792" width="5.140625" style="3" customWidth="1"/>
    <col min="1793" max="1793" width="6.28515625" style="3" customWidth="1"/>
    <col min="1794" max="1794" width="5.140625" style="3" customWidth="1"/>
    <col min="1795" max="1795" width="6.28515625" style="3" customWidth="1"/>
    <col min="1796" max="1796" width="5.140625" style="3" customWidth="1"/>
    <col min="1797" max="1797" width="6.28515625" style="3" customWidth="1"/>
    <col min="1798" max="1799" width="5.140625" style="3" customWidth="1"/>
    <col min="1800" max="1814" width="6.28515625" style="3" customWidth="1"/>
    <col min="1815" max="2047" width="8.85546875" style="3"/>
    <col min="2048" max="2048" width="5.140625" style="3" customWidth="1"/>
    <col min="2049" max="2049" width="6.28515625" style="3" customWidth="1"/>
    <col min="2050" max="2050" width="5.140625" style="3" customWidth="1"/>
    <col min="2051" max="2051" width="6.28515625" style="3" customWidth="1"/>
    <col min="2052" max="2052" width="5.140625" style="3" customWidth="1"/>
    <col min="2053" max="2053" width="6.28515625" style="3" customWidth="1"/>
    <col min="2054" max="2055" width="5.140625" style="3" customWidth="1"/>
    <col min="2056" max="2070" width="6.28515625" style="3" customWidth="1"/>
    <col min="2071" max="2303" width="8.85546875" style="3"/>
    <col min="2304" max="2304" width="5.140625" style="3" customWidth="1"/>
    <col min="2305" max="2305" width="6.28515625" style="3" customWidth="1"/>
    <col min="2306" max="2306" width="5.140625" style="3" customWidth="1"/>
    <col min="2307" max="2307" width="6.28515625" style="3" customWidth="1"/>
    <col min="2308" max="2308" width="5.140625" style="3" customWidth="1"/>
    <col min="2309" max="2309" width="6.28515625" style="3" customWidth="1"/>
    <col min="2310" max="2311" width="5.140625" style="3" customWidth="1"/>
    <col min="2312" max="2326" width="6.28515625" style="3" customWidth="1"/>
    <col min="2327" max="2559" width="8.85546875" style="3"/>
    <col min="2560" max="2560" width="5.140625" style="3" customWidth="1"/>
    <col min="2561" max="2561" width="6.28515625" style="3" customWidth="1"/>
    <col min="2562" max="2562" width="5.140625" style="3" customWidth="1"/>
    <col min="2563" max="2563" width="6.28515625" style="3" customWidth="1"/>
    <col min="2564" max="2564" width="5.140625" style="3" customWidth="1"/>
    <col min="2565" max="2565" width="6.28515625" style="3" customWidth="1"/>
    <col min="2566" max="2567" width="5.140625" style="3" customWidth="1"/>
    <col min="2568" max="2582" width="6.28515625" style="3" customWidth="1"/>
    <col min="2583" max="2815" width="8.85546875" style="3"/>
    <col min="2816" max="2816" width="5.140625" style="3" customWidth="1"/>
    <col min="2817" max="2817" width="6.28515625" style="3" customWidth="1"/>
    <col min="2818" max="2818" width="5.140625" style="3" customWidth="1"/>
    <col min="2819" max="2819" width="6.28515625" style="3" customWidth="1"/>
    <col min="2820" max="2820" width="5.140625" style="3" customWidth="1"/>
    <col min="2821" max="2821" width="6.28515625" style="3" customWidth="1"/>
    <col min="2822" max="2823" width="5.140625" style="3" customWidth="1"/>
    <col min="2824" max="2838" width="6.28515625" style="3" customWidth="1"/>
    <col min="2839" max="3071" width="8.85546875" style="3"/>
    <col min="3072" max="3072" width="5.140625" style="3" customWidth="1"/>
    <col min="3073" max="3073" width="6.28515625" style="3" customWidth="1"/>
    <col min="3074" max="3074" width="5.140625" style="3" customWidth="1"/>
    <col min="3075" max="3075" width="6.28515625" style="3" customWidth="1"/>
    <col min="3076" max="3076" width="5.140625" style="3" customWidth="1"/>
    <col min="3077" max="3077" width="6.28515625" style="3" customWidth="1"/>
    <col min="3078" max="3079" width="5.140625" style="3" customWidth="1"/>
    <col min="3080" max="3094" width="6.28515625" style="3" customWidth="1"/>
    <col min="3095" max="3327" width="8.85546875" style="3"/>
    <col min="3328" max="3328" width="5.140625" style="3" customWidth="1"/>
    <col min="3329" max="3329" width="6.28515625" style="3" customWidth="1"/>
    <col min="3330" max="3330" width="5.140625" style="3" customWidth="1"/>
    <col min="3331" max="3331" width="6.28515625" style="3" customWidth="1"/>
    <col min="3332" max="3332" width="5.140625" style="3" customWidth="1"/>
    <col min="3333" max="3333" width="6.28515625" style="3" customWidth="1"/>
    <col min="3334" max="3335" width="5.140625" style="3" customWidth="1"/>
    <col min="3336" max="3350" width="6.28515625" style="3" customWidth="1"/>
    <col min="3351" max="3583" width="8.85546875" style="3"/>
    <col min="3584" max="3584" width="5.140625" style="3" customWidth="1"/>
    <col min="3585" max="3585" width="6.28515625" style="3" customWidth="1"/>
    <col min="3586" max="3586" width="5.140625" style="3" customWidth="1"/>
    <col min="3587" max="3587" width="6.28515625" style="3" customWidth="1"/>
    <col min="3588" max="3588" width="5.140625" style="3" customWidth="1"/>
    <col min="3589" max="3589" width="6.28515625" style="3" customWidth="1"/>
    <col min="3590" max="3591" width="5.140625" style="3" customWidth="1"/>
    <col min="3592" max="3606" width="6.28515625" style="3" customWidth="1"/>
    <col min="3607" max="3839" width="8.85546875" style="3"/>
    <col min="3840" max="3840" width="5.140625" style="3" customWidth="1"/>
    <col min="3841" max="3841" width="6.28515625" style="3" customWidth="1"/>
    <col min="3842" max="3842" width="5.140625" style="3" customWidth="1"/>
    <col min="3843" max="3843" width="6.28515625" style="3" customWidth="1"/>
    <col min="3844" max="3844" width="5.140625" style="3" customWidth="1"/>
    <col min="3845" max="3845" width="6.28515625" style="3" customWidth="1"/>
    <col min="3846" max="3847" width="5.140625" style="3" customWidth="1"/>
    <col min="3848" max="3862" width="6.28515625" style="3" customWidth="1"/>
    <col min="3863" max="4095" width="8.85546875" style="3"/>
    <col min="4096" max="4096" width="5.140625" style="3" customWidth="1"/>
    <col min="4097" max="4097" width="6.28515625" style="3" customWidth="1"/>
    <col min="4098" max="4098" width="5.140625" style="3" customWidth="1"/>
    <col min="4099" max="4099" width="6.28515625" style="3" customWidth="1"/>
    <col min="4100" max="4100" width="5.140625" style="3" customWidth="1"/>
    <col min="4101" max="4101" width="6.28515625" style="3" customWidth="1"/>
    <col min="4102" max="4103" width="5.140625" style="3" customWidth="1"/>
    <col min="4104" max="4118" width="6.28515625" style="3" customWidth="1"/>
    <col min="4119" max="4351" width="8.85546875" style="3"/>
    <col min="4352" max="4352" width="5.140625" style="3" customWidth="1"/>
    <col min="4353" max="4353" width="6.28515625" style="3" customWidth="1"/>
    <col min="4354" max="4354" width="5.140625" style="3" customWidth="1"/>
    <col min="4355" max="4355" width="6.28515625" style="3" customWidth="1"/>
    <col min="4356" max="4356" width="5.140625" style="3" customWidth="1"/>
    <col min="4357" max="4357" width="6.28515625" style="3" customWidth="1"/>
    <col min="4358" max="4359" width="5.140625" style="3" customWidth="1"/>
    <col min="4360" max="4374" width="6.28515625" style="3" customWidth="1"/>
    <col min="4375" max="4607" width="8.85546875" style="3"/>
    <col min="4608" max="4608" width="5.140625" style="3" customWidth="1"/>
    <col min="4609" max="4609" width="6.28515625" style="3" customWidth="1"/>
    <col min="4610" max="4610" width="5.140625" style="3" customWidth="1"/>
    <col min="4611" max="4611" width="6.28515625" style="3" customWidth="1"/>
    <col min="4612" max="4612" width="5.140625" style="3" customWidth="1"/>
    <col min="4613" max="4613" width="6.28515625" style="3" customWidth="1"/>
    <col min="4614" max="4615" width="5.140625" style="3" customWidth="1"/>
    <col min="4616" max="4630" width="6.28515625" style="3" customWidth="1"/>
    <col min="4631" max="4863" width="8.85546875" style="3"/>
    <col min="4864" max="4864" width="5.140625" style="3" customWidth="1"/>
    <col min="4865" max="4865" width="6.28515625" style="3" customWidth="1"/>
    <col min="4866" max="4866" width="5.140625" style="3" customWidth="1"/>
    <col min="4867" max="4867" width="6.28515625" style="3" customWidth="1"/>
    <col min="4868" max="4868" width="5.140625" style="3" customWidth="1"/>
    <col min="4869" max="4869" width="6.28515625" style="3" customWidth="1"/>
    <col min="4870" max="4871" width="5.140625" style="3" customWidth="1"/>
    <col min="4872" max="4886" width="6.28515625" style="3" customWidth="1"/>
    <col min="4887" max="5119" width="8.85546875" style="3"/>
    <col min="5120" max="5120" width="5.140625" style="3" customWidth="1"/>
    <col min="5121" max="5121" width="6.28515625" style="3" customWidth="1"/>
    <col min="5122" max="5122" width="5.140625" style="3" customWidth="1"/>
    <col min="5123" max="5123" width="6.28515625" style="3" customWidth="1"/>
    <col min="5124" max="5124" width="5.140625" style="3" customWidth="1"/>
    <col min="5125" max="5125" width="6.28515625" style="3" customWidth="1"/>
    <col min="5126" max="5127" width="5.140625" style="3" customWidth="1"/>
    <col min="5128" max="5142" width="6.28515625" style="3" customWidth="1"/>
    <col min="5143" max="5375" width="8.85546875" style="3"/>
    <col min="5376" max="5376" width="5.140625" style="3" customWidth="1"/>
    <col min="5377" max="5377" width="6.28515625" style="3" customWidth="1"/>
    <col min="5378" max="5378" width="5.140625" style="3" customWidth="1"/>
    <col min="5379" max="5379" width="6.28515625" style="3" customWidth="1"/>
    <col min="5380" max="5380" width="5.140625" style="3" customWidth="1"/>
    <col min="5381" max="5381" width="6.28515625" style="3" customWidth="1"/>
    <col min="5382" max="5383" width="5.140625" style="3" customWidth="1"/>
    <col min="5384" max="5398" width="6.28515625" style="3" customWidth="1"/>
    <col min="5399" max="5631" width="8.85546875" style="3"/>
    <col min="5632" max="5632" width="5.140625" style="3" customWidth="1"/>
    <col min="5633" max="5633" width="6.28515625" style="3" customWidth="1"/>
    <col min="5634" max="5634" width="5.140625" style="3" customWidth="1"/>
    <col min="5635" max="5635" width="6.28515625" style="3" customWidth="1"/>
    <col min="5636" max="5636" width="5.140625" style="3" customWidth="1"/>
    <col min="5637" max="5637" width="6.28515625" style="3" customWidth="1"/>
    <col min="5638" max="5639" width="5.140625" style="3" customWidth="1"/>
    <col min="5640" max="5654" width="6.28515625" style="3" customWidth="1"/>
    <col min="5655" max="5887" width="8.85546875" style="3"/>
    <col min="5888" max="5888" width="5.140625" style="3" customWidth="1"/>
    <col min="5889" max="5889" width="6.28515625" style="3" customWidth="1"/>
    <col min="5890" max="5890" width="5.140625" style="3" customWidth="1"/>
    <col min="5891" max="5891" width="6.28515625" style="3" customWidth="1"/>
    <col min="5892" max="5892" width="5.140625" style="3" customWidth="1"/>
    <col min="5893" max="5893" width="6.28515625" style="3" customWidth="1"/>
    <col min="5894" max="5895" width="5.140625" style="3" customWidth="1"/>
    <col min="5896" max="5910" width="6.28515625" style="3" customWidth="1"/>
    <col min="5911" max="6143" width="8.85546875" style="3"/>
    <col min="6144" max="6144" width="5.140625" style="3" customWidth="1"/>
    <col min="6145" max="6145" width="6.28515625" style="3" customWidth="1"/>
    <col min="6146" max="6146" width="5.140625" style="3" customWidth="1"/>
    <col min="6147" max="6147" width="6.28515625" style="3" customWidth="1"/>
    <col min="6148" max="6148" width="5.140625" style="3" customWidth="1"/>
    <col min="6149" max="6149" width="6.28515625" style="3" customWidth="1"/>
    <col min="6150" max="6151" width="5.140625" style="3" customWidth="1"/>
    <col min="6152" max="6166" width="6.28515625" style="3" customWidth="1"/>
    <col min="6167" max="6399" width="8.85546875" style="3"/>
    <col min="6400" max="6400" width="5.140625" style="3" customWidth="1"/>
    <col min="6401" max="6401" width="6.28515625" style="3" customWidth="1"/>
    <col min="6402" max="6402" width="5.140625" style="3" customWidth="1"/>
    <col min="6403" max="6403" width="6.28515625" style="3" customWidth="1"/>
    <col min="6404" max="6404" width="5.140625" style="3" customWidth="1"/>
    <col min="6405" max="6405" width="6.28515625" style="3" customWidth="1"/>
    <col min="6406" max="6407" width="5.140625" style="3" customWidth="1"/>
    <col min="6408" max="6422" width="6.28515625" style="3" customWidth="1"/>
    <col min="6423" max="6655" width="8.85546875" style="3"/>
    <col min="6656" max="6656" width="5.140625" style="3" customWidth="1"/>
    <col min="6657" max="6657" width="6.28515625" style="3" customWidth="1"/>
    <col min="6658" max="6658" width="5.140625" style="3" customWidth="1"/>
    <col min="6659" max="6659" width="6.28515625" style="3" customWidth="1"/>
    <col min="6660" max="6660" width="5.140625" style="3" customWidth="1"/>
    <col min="6661" max="6661" width="6.28515625" style="3" customWidth="1"/>
    <col min="6662" max="6663" width="5.140625" style="3" customWidth="1"/>
    <col min="6664" max="6678" width="6.28515625" style="3" customWidth="1"/>
    <col min="6679" max="6911" width="8.85546875" style="3"/>
    <col min="6912" max="6912" width="5.140625" style="3" customWidth="1"/>
    <col min="6913" max="6913" width="6.28515625" style="3" customWidth="1"/>
    <col min="6914" max="6914" width="5.140625" style="3" customWidth="1"/>
    <col min="6915" max="6915" width="6.28515625" style="3" customWidth="1"/>
    <col min="6916" max="6916" width="5.140625" style="3" customWidth="1"/>
    <col min="6917" max="6917" width="6.28515625" style="3" customWidth="1"/>
    <col min="6918" max="6919" width="5.140625" style="3" customWidth="1"/>
    <col min="6920" max="6934" width="6.28515625" style="3" customWidth="1"/>
    <col min="6935" max="7167" width="8.85546875" style="3"/>
    <col min="7168" max="7168" width="5.140625" style="3" customWidth="1"/>
    <col min="7169" max="7169" width="6.28515625" style="3" customWidth="1"/>
    <col min="7170" max="7170" width="5.140625" style="3" customWidth="1"/>
    <col min="7171" max="7171" width="6.28515625" style="3" customWidth="1"/>
    <col min="7172" max="7172" width="5.140625" style="3" customWidth="1"/>
    <col min="7173" max="7173" width="6.28515625" style="3" customWidth="1"/>
    <col min="7174" max="7175" width="5.140625" style="3" customWidth="1"/>
    <col min="7176" max="7190" width="6.28515625" style="3" customWidth="1"/>
    <col min="7191" max="7423" width="8.85546875" style="3"/>
    <col min="7424" max="7424" width="5.140625" style="3" customWidth="1"/>
    <col min="7425" max="7425" width="6.28515625" style="3" customWidth="1"/>
    <col min="7426" max="7426" width="5.140625" style="3" customWidth="1"/>
    <col min="7427" max="7427" width="6.28515625" style="3" customWidth="1"/>
    <col min="7428" max="7428" width="5.140625" style="3" customWidth="1"/>
    <col min="7429" max="7429" width="6.28515625" style="3" customWidth="1"/>
    <col min="7430" max="7431" width="5.140625" style="3" customWidth="1"/>
    <col min="7432" max="7446" width="6.28515625" style="3" customWidth="1"/>
    <col min="7447" max="7679" width="8.85546875" style="3"/>
    <col min="7680" max="7680" width="5.140625" style="3" customWidth="1"/>
    <col min="7681" max="7681" width="6.28515625" style="3" customWidth="1"/>
    <col min="7682" max="7682" width="5.140625" style="3" customWidth="1"/>
    <col min="7683" max="7683" width="6.28515625" style="3" customWidth="1"/>
    <col min="7684" max="7684" width="5.140625" style="3" customWidth="1"/>
    <col min="7685" max="7685" width="6.28515625" style="3" customWidth="1"/>
    <col min="7686" max="7687" width="5.140625" style="3" customWidth="1"/>
    <col min="7688" max="7702" width="6.28515625" style="3" customWidth="1"/>
    <col min="7703" max="7935" width="8.85546875" style="3"/>
    <col min="7936" max="7936" width="5.140625" style="3" customWidth="1"/>
    <col min="7937" max="7937" width="6.28515625" style="3" customWidth="1"/>
    <col min="7938" max="7938" width="5.140625" style="3" customWidth="1"/>
    <col min="7939" max="7939" width="6.28515625" style="3" customWidth="1"/>
    <col min="7940" max="7940" width="5.140625" style="3" customWidth="1"/>
    <col min="7941" max="7941" width="6.28515625" style="3" customWidth="1"/>
    <col min="7942" max="7943" width="5.140625" style="3" customWidth="1"/>
    <col min="7944" max="7958" width="6.28515625" style="3" customWidth="1"/>
    <col min="7959" max="8191" width="8.85546875" style="3"/>
    <col min="8192" max="8192" width="5.140625" style="3" customWidth="1"/>
    <col min="8193" max="8193" width="6.28515625" style="3" customWidth="1"/>
    <col min="8194" max="8194" width="5.140625" style="3" customWidth="1"/>
    <col min="8195" max="8195" width="6.28515625" style="3" customWidth="1"/>
    <col min="8196" max="8196" width="5.140625" style="3" customWidth="1"/>
    <col min="8197" max="8197" width="6.28515625" style="3" customWidth="1"/>
    <col min="8198" max="8199" width="5.140625" style="3" customWidth="1"/>
    <col min="8200" max="8214" width="6.28515625" style="3" customWidth="1"/>
    <col min="8215" max="8447" width="8.85546875" style="3"/>
    <col min="8448" max="8448" width="5.140625" style="3" customWidth="1"/>
    <col min="8449" max="8449" width="6.28515625" style="3" customWidth="1"/>
    <col min="8450" max="8450" width="5.140625" style="3" customWidth="1"/>
    <col min="8451" max="8451" width="6.28515625" style="3" customWidth="1"/>
    <col min="8452" max="8452" width="5.140625" style="3" customWidth="1"/>
    <col min="8453" max="8453" width="6.28515625" style="3" customWidth="1"/>
    <col min="8454" max="8455" width="5.140625" style="3" customWidth="1"/>
    <col min="8456" max="8470" width="6.28515625" style="3" customWidth="1"/>
    <col min="8471" max="8703" width="8.85546875" style="3"/>
    <col min="8704" max="8704" width="5.140625" style="3" customWidth="1"/>
    <col min="8705" max="8705" width="6.28515625" style="3" customWidth="1"/>
    <col min="8706" max="8706" width="5.140625" style="3" customWidth="1"/>
    <col min="8707" max="8707" width="6.28515625" style="3" customWidth="1"/>
    <col min="8708" max="8708" width="5.140625" style="3" customWidth="1"/>
    <col min="8709" max="8709" width="6.28515625" style="3" customWidth="1"/>
    <col min="8710" max="8711" width="5.140625" style="3" customWidth="1"/>
    <col min="8712" max="8726" width="6.28515625" style="3" customWidth="1"/>
    <col min="8727" max="8959" width="8.85546875" style="3"/>
    <col min="8960" max="8960" width="5.140625" style="3" customWidth="1"/>
    <col min="8961" max="8961" width="6.28515625" style="3" customWidth="1"/>
    <col min="8962" max="8962" width="5.140625" style="3" customWidth="1"/>
    <col min="8963" max="8963" width="6.28515625" style="3" customWidth="1"/>
    <col min="8964" max="8964" width="5.140625" style="3" customWidth="1"/>
    <col min="8965" max="8965" width="6.28515625" style="3" customWidth="1"/>
    <col min="8966" max="8967" width="5.140625" style="3" customWidth="1"/>
    <col min="8968" max="8982" width="6.28515625" style="3" customWidth="1"/>
    <col min="8983" max="9215" width="8.85546875" style="3"/>
    <col min="9216" max="9216" width="5.140625" style="3" customWidth="1"/>
    <col min="9217" max="9217" width="6.28515625" style="3" customWidth="1"/>
    <col min="9218" max="9218" width="5.140625" style="3" customWidth="1"/>
    <col min="9219" max="9219" width="6.28515625" style="3" customWidth="1"/>
    <col min="9220" max="9220" width="5.140625" style="3" customWidth="1"/>
    <col min="9221" max="9221" width="6.28515625" style="3" customWidth="1"/>
    <col min="9222" max="9223" width="5.140625" style="3" customWidth="1"/>
    <col min="9224" max="9238" width="6.28515625" style="3" customWidth="1"/>
    <col min="9239" max="9471" width="8.85546875" style="3"/>
    <col min="9472" max="9472" width="5.140625" style="3" customWidth="1"/>
    <col min="9473" max="9473" width="6.28515625" style="3" customWidth="1"/>
    <col min="9474" max="9474" width="5.140625" style="3" customWidth="1"/>
    <col min="9475" max="9475" width="6.28515625" style="3" customWidth="1"/>
    <col min="9476" max="9476" width="5.140625" style="3" customWidth="1"/>
    <col min="9477" max="9477" width="6.28515625" style="3" customWidth="1"/>
    <col min="9478" max="9479" width="5.140625" style="3" customWidth="1"/>
    <col min="9480" max="9494" width="6.28515625" style="3" customWidth="1"/>
    <col min="9495" max="9727" width="8.85546875" style="3"/>
    <col min="9728" max="9728" width="5.140625" style="3" customWidth="1"/>
    <col min="9729" max="9729" width="6.28515625" style="3" customWidth="1"/>
    <col min="9730" max="9730" width="5.140625" style="3" customWidth="1"/>
    <col min="9731" max="9731" width="6.28515625" style="3" customWidth="1"/>
    <col min="9732" max="9732" width="5.140625" style="3" customWidth="1"/>
    <col min="9733" max="9733" width="6.28515625" style="3" customWidth="1"/>
    <col min="9734" max="9735" width="5.140625" style="3" customWidth="1"/>
    <col min="9736" max="9750" width="6.28515625" style="3" customWidth="1"/>
    <col min="9751" max="9983" width="8.85546875" style="3"/>
    <col min="9984" max="9984" width="5.140625" style="3" customWidth="1"/>
    <col min="9985" max="9985" width="6.28515625" style="3" customWidth="1"/>
    <col min="9986" max="9986" width="5.140625" style="3" customWidth="1"/>
    <col min="9987" max="9987" width="6.28515625" style="3" customWidth="1"/>
    <col min="9988" max="9988" width="5.140625" style="3" customWidth="1"/>
    <col min="9989" max="9989" width="6.28515625" style="3" customWidth="1"/>
    <col min="9990" max="9991" width="5.140625" style="3" customWidth="1"/>
    <col min="9992" max="10006" width="6.28515625" style="3" customWidth="1"/>
    <col min="10007" max="10239" width="8.85546875" style="3"/>
    <col min="10240" max="10240" width="5.140625" style="3" customWidth="1"/>
    <col min="10241" max="10241" width="6.28515625" style="3" customWidth="1"/>
    <col min="10242" max="10242" width="5.140625" style="3" customWidth="1"/>
    <col min="10243" max="10243" width="6.28515625" style="3" customWidth="1"/>
    <col min="10244" max="10244" width="5.140625" style="3" customWidth="1"/>
    <col min="10245" max="10245" width="6.28515625" style="3" customWidth="1"/>
    <col min="10246" max="10247" width="5.140625" style="3" customWidth="1"/>
    <col min="10248" max="10262" width="6.28515625" style="3" customWidth="1"/>
    <col min="10263" max="10495" width="8.85546875" style="3"/>
    <col min="10496" max="10496" width="5.140625" style="3" customWidth="1"/>
    <col min="10497" max="10497" width="6.28515625" style="3" customWidth="1"/>
    <col min="10498" max="10498" width="5.140625" style="3" customWidth="1"/>
    <col min="10499" max="10499" width="6.28515625" style="3" customWidth="1"/>
    <col min="10500" max="10500" width="5.140625" style="3" customWidth="1"/>
    <col min="10501" max="10501" width="6.28515625" style="3" customWidth="1"/>
    <col min="10502" max="10503" width="5.140625" style="3" customWidth="1"/>
    <col min="10504" max="10518" width="6.28515625" style="3" customWidth="1"/>
    <col min="10519" max="10751" width="8.85546875" style="3"/>
    <col min="10752" max="10752" width="5.140625" style="3" customWidth="1"/>
    <col min="10753" max="10753" width="6.28515625" style="3" customWidth="1"/>
    <col min="10754" max="10754" width="5.140625" style="3" customWidth="1"/>
    <col min="10755" max="10755" width="6.28515625" style="3" customWidth="1"/>
    <col min="10756" max="10756" width="5.140625" style="3" customWidth="1"/>
    <col min="10757" max="10757" width="6.28515625" style="3" customWidth="1"/>
    <col min="10758" max="10759" width="5.140625" style="3" customWidth="1"/>
    <col min="10760" max="10774" width="6.28515625" style="3" customWidth="1"/>
    <col min="10775" max="11007" width="8.85546875" style="3"/>
    <col min="11008" max="11008" width="5.140625" style="3" customWidth="1"/>
    <col min="11009" max="11009" width="6.28515625" style="3" customWidth="1"/>
    <col min="11010" max="11010" width="5.140625" style="3" customWidth="1"/>
    <col min="11011" max="11011" width="6.28515625" style="3" customWidth="1"/>
    <col min="11012" max="11012" width="5.140625" style="3" customWidth="1"/>
    <col min="11013" max="11013" width="6.28515625" style="3" customWidth="1"/>
    <col min="11014" max="11015" width="5.140625" style="3" customWidth="1"/>
    <col min="11016" max="11030" width="6.28515625" style="3" customWidth="1"/>
    <col min="11031" max="11263" width="8.85546875" style="3"/>
    <col min="11264" max="11264" width="5.140625" style="3" customWidth="1"/>
    <col min="11265" max="11265" width="6.28515625" style="3" customWidth="1"/>
    <col min="11266" max="11266" width="5.140625" style="3" customWidth="1"/>
    <col min="11267" max="11267" width="6.28515625" style="3" customWidth="1"/>
    <col min="11268" max="11268" width="5.140625" style="3" customWidth="1"/>
    <col min="11269" max="11269" width="6.28515625" style="3" customWidth="1"/>
    <col min="11270" max="11271" width="5.140625" style="3" customWidth="1"/>
    <col min="11272" max="11286" width="6.28515625" style="3" customWidth="1"/>
    <col min="11287" max="11519" width="8.85546875" style="3"/>
    <col min="11520" max="11520" width="5.140625" style="3" customWidth="1"/>
    <col min="11521" max="11521" width="6.28515625" style="3" customWidth="1"/>
    <col min="11522" max="11522" width="5.140625" style="3" customWidth="1"/>
    <col min="11523" max="11523" width="6.28515625" style="3" customWidth="1"/>
    <col min="11524" max="11524" width="5.140625" style="3" customWidth="1"/>
    <col min="11525" max="11525" width="6.28515625" style="3" customWidth="1"/>
    <col min="11526" max="11527" width="5.140625" style="3" customWidth="1"/>
    <col min="11528" max="11542" width="6.28515625" style="3" customWidth="1"/>
    <col min="11543" max="11775" width="8.85546875" style="3"/>
    <col min="11776" max="11776" width="5.140625" style="3" customWidth="1"/>
    <col min="11777" max="11777" width="6.28515625" style="3" customWidth="1"/>
    <col min="11778" max="11778" width="5.140625" style="3" customWidth="1"/>
    <col min="11779" max="11779" width="6.28515625" style="3" customWidth="1"/>
    <col min="11780" max="11780" width="5.140625" style="3" customWidth="1"/>
    <col min="11781" max="11781" width="6.28515625" style="3" customWidth="1"/>
    <col min="11782" max="11783" width="5.140625" style="3" customWidth="1"/>
    <col min="11784" max="11798" width="6.28515625" style="3" customWidth="1"/>
    <col min="11799" max="12031" width="8.85546875" style="3"/>
    <col min="12032" max="12032" width="5.140625" style="3" customWidth="1"/>
    <col min="12033" max="12033" width="6.28515625" style="3" customWidth="1"/>
    <col min="12034" max="12034" width="5.140625" style="3" customWidth="1"/>
    <col min="12035" max="12035" width="6.28515625" style="3" customWidth="1"/>
    <col min="12036" max="12036" width="5.140625" style="3" customWidth="1"/>
    <col min="12037" max="12037" width="6.28515625" style="3" customWidth="1"/>
    <col min="12038" max="12039" width="5.140625" style="3" customWidth="1"/>
    <col min="12040" max="12054" width="6.28515625" style="3" customWidth="1"/>
    <col min="12055" max="12287" width="8.85546875" style="3"/>
    <col min="12288" max="12288" width="5.140625" style="3" customWidth="1"/>
    <col min="12289" max="12289" width="6.28515625" style="3" customWidth="1"/>
    <col min="12290" max="12290" width="5.140625" style="3" customWidth="1"/>
    <col min="12291" max="12291" width="6.28515625" style="3" customWidth="1"/>
    <col min="12292" max="12292" width="5.140625" style="3" customWidth="1"/>
    <col min="12293" max="12293" width="6.28515625" style="3" customWidth="1"/>
    <col min="12294" max="12295" width="5.140625" style="3" customWidth="1"/>
    <col min="12296" max="12310" width="6.28515625" style="3" customWidth="1"/>
    <col min="12311" max="12543" width="8.85546875" style="3"/>
    <col min="12544" max="12544" width="5.140625" style="3" customWidth="1"/>
    <col min="12545" max="12545" width="6.28515625" style="3" customWidth="1"/>
    <col min="12546" max="12546" width="5.140625" style="3" customWidth="1"/>
    <col min="12547" max="12547" width="6.28515625" style="3" customWidth="1"/>
    <col min="12548" max="12548" width="5.140625" style="3" customWidth="1"/>
    <col min="12549" max="12549" width="6.28515625" style="3" customWidth="1"/>
    <col min="12550" max="12551" width="5.140625" style="3" customWidth="1"/>
    <col min="12552" max="12566" width="6.28515625" style="3" customWidth="1"/>
    <col min="12567" max="12799" width="8.85546875" style="3"/>
    <col min="12800" max="12800" width="5.140625" style="3" customWidth="1"/>
    <col min="12801" max="12801" width="6.28515625" style="3" customWidth="1"/>
    <col min="12802" max="12802" width="5.140625" style="3" customWidth="1"/>
    <col min="12803" max="12803" width="6.28515625" style="3" customWidth="1"/>
    <col min="12804" max="12804" width="5.140625" style="3" customWidth="1"/>
    <col min="12805" max="12805" width="6.28515625" style="3" customWidth="1"/>
    <col min="12806" max="12807" width="5.140625" style="3" customWidth="1"/>
    <col min="12808" max="12822" width="6.28515625" style="3" customWidth="1"/>
    <col min="12823" max="13055" width="8.85546875" style="3"/>
    <col min="13056" max="13056" width="5.140625" style="3" customWidth="1"/>
    <col min="13057" max="13057" width="6.28515625" style="3" customWidth="1"/>
    <col min="13058" max="13058" width="5.140625" style="3" customWidth="1"/>
    <col min="13059" max="13059" width="6.28515625" style="3" customWidth="1"/>
    <col min="13060" max="13060" width="5.140625" style="3" customWidth="1"/>
    <col min="13061" max="13061" width="6.28515625" style="3" customWidth="1"/>
    <col min="13062" max="13063" width="5.140625" style="3" customWidth="1"/>
    <col min="13064" max="13078" width="6.28515625" style="3" customWidth="1"/>
    <col min="13079" max="13311" width="8.85546875" style="3"/>
    <col min="13312" max="13312" width="5.140625" style="3" customWidth="1"/>
    <col min="13313" max="13313" width="6.28515625" style="3" customWidth="1"/>
    <col min="13314" max="13314" width="5.140625" style="3" customWidth="1"/>
    <col min="13315" max="13315" width="6.28515625" style="3" customWidth="1"/>
    <col min="13316" max="13316" width="5.140625" style="3" customWidth="1"/>
    <col min="13317" max="13317" width="6.28515625" style="3" customWidth="1"/>
    <col min="13318" max="13319" width="5.140625" style="3" customWidth="1"/>
    <col min="13320" max="13334" width="6.28515625" style="3" customWidth="1"/>
    <col min="13335" max="13567" width="8.85546875" style="3"/>
    <col min="13568" max="13568" width="5.140625" style="3" customWidth="1"/>
    <col min="13569" max="13569" width="6.28515625" style="3" customWidth="1"/>
    <col min="13570" max="13570" width="5.140625" style="3" customWidth="1"/>
    <col min="13571" max="13571" width="6.28515625" style="3" customWidth="1"/>
    <col min="13572" max="13572" width="5.140625" style="3" customWidth="1"/>
    <col min="13573" max="13573" width="6.28515625" style="3" customWidth="1"/>
    <col min="13574" max="13575" width="5.140625" style="3" customWidth="1"/>
    <col min="13576" max="13590" width="6.28515625" style="3" customWidth="1"/>
    <col min="13591" max="13823" width="8.85546875" style="3"/>
    <col min="13824" max="13824" width="5.140625" style="3" customWidth="1"/>
    <col min="13825" max="13825" width="6.28515625" style="3" customWidth="1"/>
    <col min="13826" max="13826" width="5.140625" style="3" customWidth="1"/>
    <col min="13827" max="13827" width="6.28515625" style="3" customWidth="1"/>
    <col min="13828" max="13828" width="5.140625" style="3" customWidth="1"/>
    <col min="13829" max="13829" width="6.28515625" style="3" customWidth="1"/>
    <col min="13830" max="13831" width="5.140625" style="3" customWidth="1"/>
    <col min="13832" max="13846" width="6.28515625" style="3" customWidth="1"/>
    <col min="13847" max="14079" width="8.85546875" style="3"/>
    <col min="14080" max="14080" width="5.140625" style="3" customWidth="1"/>
    <col min="14081" max="14081" width="6.28515625" style="3" customWidth="1"/>
    <col min="14082" max="14082" width="5.140625" style="3" customWidth="1"/>
    <col min="14083" max="14083" width="6.28515625" style="3" customWidth="1"/>
    <col min="14084" max="14084" width="5.140625" style="3" customWidth="1"/>
    <col min="14085" max="14085" width="6.28515625" style="3" customWidth="1"/>
    <col min="14086" max="14087" width="5.140625" style="3" customWidth="1"/>
    <col min="14088" max="14102" width="6.28515625" style="3" customWidth="1"/>
    <col min="14103" max="14335" width="8.85546875" style="3"/>
    <col min="14336" max="14336" width="5.140625" style="3" customWidth="1"/>
    <col min="14337" max="14337" width="6.28515625" style="3" customWidth="1"/>
    <col min="14338" max="14338" width="5.140625" style="3" customWidth="1"/>
    <col min="14339" max="14339" width="6.28515625" style="3" customWidth="1"/>
    <col min="14340" max="14340" width="5.140625" style="3" customWidth="1"/>
    <col min="14341" max="14341" width="6.28515625" style="3" customWidth="1"/>
    <col min="14342" max="14343" width="5.140625" style="3" customWidth="1"/>
    <col min="14344" max="14358" width="6.28515625" style="3" customWidth="1"/>
    <col min="14359" max="14591" width="8.85546875" style="3"/>
    <col min="14592" max="14592" width="5.140625" style="3" customWidth="1"/>
    <col min="14593" max="14593" width="6.28515625" style="3" customWidth="1"/>
    <col min="14594" max="14594" width="5.140625" style="3" customWidth="1"/>
    <col min="14595" max="14595" width="6.28515625" style="3" customWidth="1"/>
    <col min="14596" max="14596" width="5.140625" style="3" customWidth="1"/>
    <col min="14597" max="14597" width="6.28515625" style="3" customWidth="1"/>
    <col min="14598" max="14599" width="5.140625" style="3" customWidth="1"/>
    <col min="14600" max="14614" width="6.28515625" style="3" customWidth="1"/>
    <col min="14615" max="14847" width="8.85546875" style="3"/>
    <col min="14848" max="14848" width="5.140625" style="3" customWidth="1"/>
    <col min="14849" max="14849" width="6.28515625" style="3" customWidth="1"/>
    <col min="14850" max="14850" width="5.140625" style="3" customWidth="1"/>
    <col min="14851" max="14851" width="6.28515625" style="3" customWidth="1"/>
    <col min="14852" max="14852" width="5.140625" style="3" customWidth="1"/>
    <col min="14853" max="14853" width="6.28515625" style="3" customWidth="1"/>
    <col min="14854" max="14855" width="5.140625" style="3" customWidth="1"/>
    <col min="14856" max="14870" width="6.28515625" style="3" customWidth="1"/>
    <col min="14871" max="15103" width="8.85546875" style="3"/>
    <col min="15104" max="15104" width="5.140625" style="3" customWidth="1"/>
    <col min="15105" max="15105" width="6.28515625" style="3" customWidth="1"/>
    <col min="15106" max="15106" width="5.140625" style="3" customWidth="1"/>
    <col min="15107" max="15107" width="6.28515625" style="3" customWidth="1"/>
    <col min="15108" max="15108" width="5.140625" style="3" customWidth="1"/>
    <col min="15109" max="15109" width="6.28515625" style="3" customWidth="1"/>
    <col min="15110" max="15111" width="5.140625" style="3" customWidth="1"/>
    <col min="15112" max="15126" width="6.28515625" style="3" customWidth="1"/>
    <col min="15127" max="15359" width="8.85546875" style="3"/>
    <col min="15360" max="15360" width="5.140625" style="3" customWidth="1"/>
    <col min="15361" max="15361" width="6.28515625" style="3" customWidth="1"/>
    <col min="15362" max="15362" width="5.140625" style="3" customWidth="1"/>
    <col min="15363" max="15363" width="6.28515625" style="3" customWidth="1"/>
    <col min="15364" max="15364" width="5.140625" style="3" customWidth="1"/>
    <col min="15365" max="15365" width="6.28515625" style="3" customWidth="1"/>
    <col min="15366" max="15367" width="5.140625" style="3" customWidth="1"/>
    <col min="15368" max="15382" width="6.28515625" style="3" customWidth="1"/>
    <col min="15383" max="15615" width="8.85546875" style="3"/>
    <col min="15616" max="15616" width="5.140625" style="3" customWidth="1"/>
    <col min="15617" max="15617" width="6.28515625" style="3" customWidth="1"/>
    <col min="15618" max="15618" width="5.140625" style="3" customWidth="1"/>
    <col min="15619" max="15619" width="6.28515625" style="3" customWidth="1"/>
    <col min="15620" max="15620" width="5.140625" style="3" customWidth="1"/>
    <col min="15621" max="15621" width="6.28515625" style="3" customWidth="1"/>
    <col min="15622" max="15623" width="5.140625" style="3" customWidth="1"/>
    <col min="15624" max="15638" width="6.28515625" style="3" customWidth="1"/>
    <col min="15639" max="15871" width="8.85546875" style="3"/>
    <col min="15872" max="15872" width="5.140625" style="3" customWidth="1"/>
    <col min="15873" max="15873" width="6.28515625" style="3" customWidth="1"/>
    <col min="15874" max="15874" width="5.140625" style="3" customWidth="1"/>
    <col min="15875" max="15875" width="6.28515625" style="3" customWidth="1"/>
    <col min="15876" max="15876" width="5.140625" style="3" customWidth="1"/>
    <col min="15877" max="15877" width="6.28515625" style="3" customWidth="1"/>
    <col min="15878" max="15879" width="5.140625" style="3" customWidth="1"/>
    <col min="15880" max="15894" width="6.28515625" style="3" customWidth="1"/>
    <col min="15895" max="16127" width="8.85546875" style="3"/>
    <col min="16128" max="16128" width="5.140625" style="3" customWidth="1"/>
    <col min="16129" max="16129" width="6.28515625" style="3" customWidth="1"/>
    <col min="16130" max="16130" width="5.140625" style="3" customWidth="1"/>
    <col min="16131" max="16131" width="6.28515625" style="3" customWidth="1"/>
    <col min="16132" max="16132" width="5.140625" style="3" customWidth="1"/>
    <col min="16133" max="16133" width="6.28515625" style="3" customWidth="1"/>
    <col min="16134" max="16135" width="5.140625" style="3" customWidth="1"/>
    <col min="16136" max="16150" width="6.28515625" style="3" customWidth="1"/>
    <col min="16151" max="16384" width="8.85546875" style="3"/>
  </cols>
  <sheetData>
    <row r="1" spans="1:29" ht="24" customHeight="1"/>
    <row r="2" spans="1:29" ht="24" customHeight="1" thickBot="1"/>
    <row r="3" spans="1:29" ht="24" customHeight="1" thickTop="1">
      <c r="H3" s="5">
        <v>1</v>
      </c>
      <c r="J3" s="6">
        <v>26</v>
      </c>
      <c r="Y3" s="7" t="s">
        <v>11</v>
      </c>
      <c r="Z3" s="8" t="s">
        <v>10</v>
      </c>
      <c r="AA3" s="9" t="s">
        <v>12</v>
      </c>
      <c r="AB3" s="9" t="s">
        <v>3</v>
      </c>
      <c r="AC3" s="10" t="s">
        <v>4</v>
      </c>
    </row>
    <row r="4" spans="1:29" ht="24" customHeight="1">
      <c r="Y4" s="11" t="s">
        <v>13</v>
      </c>
      <c r="Z4" s="12" t="s">
        <v>13</v>
      </c>
      <c r="AA4" s="13">
        <v>0</v>
      </c>
      <c r="AB4" s="14">
        <v>1</v>
      </c>
      <c r="AC4" s="15">
        <v>26</v>
      </c>
    </row>
    <row r="5" spans="1:29" ht="24" customHeight="1">
      <c r="Y5" s="16" t="s">
        <v>9</v>
      </c>
      <c r="Z5" s="17" t="s">
        <v>13</v>
      </c>
      <c r="AA5" s="18">
        <v>1</v>
      </c>
      <c r="AB5" s="19">
        <v>2</v>
      </c>
      <c r="AC5" s="20">
        <v>11</v>
      </c>
    </row>
    <row r="6" spans="1:29" ht="24" customHeight="1">
      <c r="C6" s="6"/>
      <c r="E6" s="5">
        <v>2</v>
      </c>
      <c r="G6" s="6">
        <v>11</v>
      </c>
      <c r="M6" s="5">
        <v>12</v>
      </c>
      <c r="O6" s="6">
        <v>17</v>
      </c>
      <c r="R6" s="5">
        <v>18</v>
      </c>
      <c r="T6" s="6">
        <v>23</v>
      </c>
      <c r="U6" s="5">
        <v>24</v>
      </c>
      <c r="W6" s="6">
        <v>25</v>
      </c>
      <c r="Y6" s="16" t="s">
        <v>14</v>
      </c>
      <c r="Z6" s="17" t="s">
        <v>13</v>
      </c>
      <c r="AA6" s="18">
        <v>1</v>
      </c>
      <c r="AB6" s="19">
        <v>12</v>
      </c>
      <c r="AC6" s="20">
        <v>17</v>
      </c>
    </row>
    <row r="7" spans="1:29" ht="24" customHeight="1">
      <c r="A7" s="5"/>
      <c r="C7" s="6"/>
      <c r="M7" s="5"/>
      <c r="O7" s="6"/>
      <c r="R7" s="5"/>
      <c r="T7" s="6"/>
      <c r="U7" s="5"/>
      <c r="W7" s="6"/>
      <c r="Y7" s="16" t="s">
        <v>15</v>
      </c>
      <c r="Z7" s="17" t="s">
        <v>13</v>
      </c>
      <c r="AA7" s="18">
        <v>1</v>
      </c>
      <c r="AB7" s="19">
        <v>18</v>
      </c>
      <c r="AC7" s="20">
        <v>23</v>
      </c>
    </row>
    <row r="8" spans="1:29" ht="24" customHeight="1">
      <c r="Y8" s="16" t="s">
        <v>16</v>
      </c>
      <c r="Z8" s="17" t="s">
        <v>13</v>
      </c>
      <c r="AA8" s="18">
        <v>1</v>
      </c>
      <c r="AB8" s="19">
        <v>24</v>
      </c>
      <c r="AC8" s="20">
        <v>25</v>
      </c>
    </row>
    <row r="9" spans="1:29" ht="24" customHeight="1">
      <c r="C9" s="5">
        <v>3</v>
      </c>
      <c r="E9" s="6">
        <v>8</v>
      </c>
      <c r="H9" s="5">
        <v>9</v>
      </c>
      <c r="J9" s="6">
        <v>10</v>
      </c>
      <c r="K9" s="5">
        <v>13</v>
      </c>
      <c r="M9" s="6">
        <v>14</v>
      </c>
      <c r="O9" s="5">
        <v>15</v>
      </c>
      <c r="Q9" s="6">
        <v>16</v>
      </c>
      <c r="R9" s="5">
        <v>19</v>
      </c>
      <c r="T9" s="6">
        <v>22</v>
      </c>
      <c r="Y9" s="16" t="s">
        <v>17</v>
      </c>
      <c r="Z9" s="17" t="s">
        <v>9</v>
      </c>
      <c r="AA9" s="18">
        <v>2</v>
      </c>
      <c r="AB9" s="19">
        <v>3</v>
      </c>
      <c r="AC9" s="20">
        <v>8</v>
      </c>
    </row>
    <row r="10" spans="1:29" ht="24" customHeight="1">
      <c r="Y10" s="16" t="s">
        <v>8</v>
      </c>
      <c r="Z10" s="17" t="s">
        <v>9</v>
      </c>
      <c r="AA10" s="18">
        <v>2</v>
      </c>
      <c r="AB10" s="19">
        <v>9</v>
      </c>
      <c r="AC10" s="20">
        <v>10</v>
      </c>
    </row>
    <row r="11" spans="1:29" ht="24" customHeight="1">
      <c r="Y11" s="16" t="s">
        <v>18</v>
      </c>
      <c r="Z11" s="17" t="s">
        <v>17</v>
      </c>
      <c r="AA11" s="18">
        <v>3</v>
      </c>
      <c r="AB11" s="19">
        <v>4</v>
      </c>
      <c r="AC11" s="20">
        <v>5</v>
      </c>
    </row>
    <row r="12" spans="1:29" ht="24" customHeight="1">
      <c r="A12" s="5">
        <v>4</v>
      </c>
      <c r="C12" s="6">
        <v>5</v>
      </c>
      <c r="E12" s="5">
        <v>6</v>
      </c>
      <c r="G12" s="6">
        <v>7</v>
      </c>
      <c r="H12" s="5"/>
      <c r="J12" s="6"/>
      <c r="R12" s="5">
        <v>20</v>
      </c>
      <c r="T12" s="6">
        <v>21</v>
      </c>
      <c r="U12" s="21"/>
      <c r="Y12" s="16" t="s">
        <v>19</v>
      </c>
      <c r="Z12" s="17" t="s">
        <v>17</v>
      </c>
      <c r="AA12" s="18">
        <v>3</v>
      </c>
      <c r="AB12" s="19">
        <v>6</v>
      </c>
      <c r="AC12" s="20">
        <v>7</v>
      </c>
    </row>
    <row r="13" spans="1:29" ht="24" customHeight="1">
      <c r="Y13" s="16" t="s">
        <v>0</v>
      </c>
      <c r="Z13" s="17" t="s">
        <v>14</v>
      </c>
      <c r="AA13" s="18">
        <v>2</v>
      </c>
      <c r="AB13" s="19">
        <v>13</v>
      </c>
      <c r="AC13" s="20">
        <v>14</v>
      </c>
    </row>
    <row r="14" spans="1:29" ht="24" customHeight="1">
      <c r="Y14" s="16" t="s">
        <v>1</v>
      </c>
      <c r="Z14" s="17" t="s">
        <v>14</v>
      </c>
      <c r="AA14" s="18">
        <v>2</v>
      </c>
      <c r="AB14" s="19">
        <v>15</v>
      </c>
      <c r="AC14" s="20">
        <v>16</v>
      </c>
    </row>
    <row r="15" spans="1:29" ht="24" customHeight="1">
      <c r="Y15" s="16" t="s">
        <v>2</v>
      </c>
      <c r="Z15" s="17" t="s">
        <v>15</v>
      </c>
      <c r="AA15" s="18">
        <v>2</v>
      </c>
      <c r="AB15" s="19">
        <v>19</v>
      </c>
      <c r="AC15" s="20">
        <v>22</v>
      </c>
    </row>
    <row r="16" spans="1:29" ht="24" customHeight="1" thickBot="1">
      <c r="Y16" s="22" t="s">
        <v>20</v>
      </c>
      <c r="Z16" s="23" t="s">
        <v>2</v>
      </c>
      <c r="AA16" s="24">
        <v>3</v>
      </c>
      <c r="AB16" s="25">
        <v>20</v>
      </c>
      <c r="AC16" s="26">
        <v>21</v>
      </c>
    </row>
    <row r="17" ht="20.100000000000001" customHeight="1" thickTop="1"/>
    <row r="18" ht="20.100000000000001" customHeight="1"/>
    <row r="19" ht="20.100000000000001" customHeight="1"/>
  </sheetData>
  <printOptions horizontalCentered="1" verticalCentered="1"/>
  <pageMargins left="0.25" right="0.25" top="0.5" bottom="0.5" header="0.25" footer="0.25"/>
  <pageSetup scale="70" orientation="landscape" r:id="rId1"/>
  <headerFooter alignWithMargins="0">
    <oddFooter>&amp;L&amp;9&amp;F&amp;R&amp;8&amp;D &amp;T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"/>
  <dimension ref="A1:E14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/>
  <cols>
    <col min="1" max="5" width="11.7109375" customWidth="1"/>
  </cols>
  <sheetData>
    <row r="1" spans="1:5" ht="16.5">
      <c r="A1" s="1" t="s">
        <v>11</v>
      </c>
      <c r="B1" s="1" t="s">
        <v>10</v>
      </c>
      <c r="C1" s="1" t="s">
        <v>74</v>
      </c>
      <c r="D1" s="1" t="s">
        <v>76</v>
      </c>
      <c r="E1" s="1" t="s">
        <v>75</v>
      </c>
    </row>
    <row r="2" spans="1:5">
      <c r="A2" s="80" t="s">
        <v>13</v>
      </c>
      <c r="B2" s="80" t="s">
        <v>13</v>
      </c>
      <c r="C2" s="81">
        <v>1</v>
      </c>
      <c r="D2" s="81">
        <v>26</v>
      </c>
      <c r="E2" s="81" t="s">
        <v>77</v>
      </c>
    </row>
    <row r="3" spans="1:5">
      <c r="A3" s="78" t="s">
        <v>9</v>
      </c>
      <c r="B3" s="78" t="s">
        <v>13</v>
      </c>
      <c r="C3" s="79">
        <v>2</v>
      </c>
      <c r="D3" s="79">
        <v>11</v>
      </c>
      <c r="E3" s="79" t="s">
        <v>77</v>
      </c>
    </row>
    <row r="4" spans="1:5">
      <c r="A4" s="78" t="s">
        <v>14</v>
      </c>
      <c r="B4" s="78" t="s">
        <v>13</v>
      </c>
      <c r="C4" s="79">
        <v>12</v>
      </c>
      <c r="D4" s="79">
        <v>17</v>
      </c>
      <c r="E4" s="79" t="s">
        <v>77</v>
      </c>
    </row>
    <row r="5" spans="1:5">
      <c r="A5" s="78" t="s">
        <v>15</v>
      </c>
      <c r="B5" s="78" t="s">
        <v>13</v>
      </c>
      <c r="C5" s="79">
        <v>18</v>
      </c>
      <c r="D5" s="79">
        <v>23</v>
      </c>
      <c r="E5" s="79" t="s">
        <v>77</v>
      </c>
    </row>
    <row r="6" spans="1:5">
      <c r="A6" s="78" t="s">
        <v>16</v>
      </c>
      <c r="B6" s="78" t="s">
        <v>13</v>
      </c>
      <c r="C6" s="79">
        <v>24</v>
      </c>
      <c r="D6" s="79">
        <v>25</v>
      </c>
      <c r="E6" s="79" t="s">
        <v>77</v>
      </c>
    </row>
    <row r="7" spans="1:5">
      <c r="A7" s="78" t="s">
        <v>17</v>
      </c>
      <c r="B7" s="78" t="s">
        <v>9</v>
      </c>
      <c r="C7" s="79">
        <v>3</v>
      </c>
      <c r="D7" s="79">
        <v>8</v>
      </c>
      <c r="E7" s="79" t="s">
        <v>77</v>
      </c>
    </row>
    <row r="8" spans="1:5">
      <c r="A8" s="78" t="s">
        <v>8</v>
      </c>
      <c r="B8" s="78" t="s">
        <v>9</v>
      </c>
      <c r="C8" s="79">
        <v>9</v>
      </c>
      <c r="D8" s="79">
        <v>10</v>
      </c>
      <c r="E8" s="79" t="s">
        <v>77</v>
      </c>
    </row>
    <row r="9" spans="1:5">
      <c r="A9" s="78" t="s">
        <v>18</v>
      </c>
      <c r="B9" s="78" t="s">
        <v>17</v>
      </c>
      <c r="C9" s="79">
        <v>4</v>
      </c>
      <c r="D9" s="79">
        <v>5</v>
      </c>
      <c r="E9" s="79" t="s">
        <v>77</v>
      </c>
    </row>
    <row r="10" spans="1:5">
      <c r="A10" s="78" t="s">
        <v>19</v>
      </c>
      <c r="B10" s="78" t="s">
        <v>17</v>
      </c>
      <c r="C10" s="79">
        <v>6</v>
      </c>
      <c r="D10" s="79">
        <v>7</v>
      </c>
      <c r="E10" s="79" t="s">
        <v>77</v>
      </c>
    </row>
    <row r="11" spans="1:5">
      <c r="A11" s="78" t="s">
        <v>0</v>
      </c>
      <c r="B11" s="78" t="s">
        <v>14</v>
      </c>
      <c r="C11" s="79">
        <v>13</v>
      </c>
      <c r="D11" s="79">
        <v>14</v>
      </c>
      <c r="E11" s="79" t="s">
        <v>77</v>
      </c>
    </row>
    <row r="12" spans="1:5">
      <c r="A12" s="78" t="s">
        <v>1</v>
      </c>
      <c r="B12" s="78" t="s">
        <v>14</v>
      </c>
      <c r="C12" s="79">
        <v>15</v>
      </c>
      <c r="D12" s="79">
        <v>16</v>
      </c>
      <c r="E12" s="79" t="s">
        <v>77</v>
      </c>
    </row>
    <row r="13" spans="1:5">
      <c r="A13" s="78" t="s">
        <v>2</v>
      </c>
      <c r="B13" s="78" t="s">
        <v>15</v>
      </c>
      <c r="C13" s="79">
        <v>19</v>
      </c>
      <c r="D13" s="79">
        <v>22</v>
      </c>
      <c r="E13" s="79" t="s">
        <v>77</v>
      </c>
    </row>
    <row r="14" spans="1:5">
      <c r="A14" s="78" t="s">
        <v>20</v>
      </c>
      <c r="B14" s="78" t="s">
        <v>2</v>
      </c>
      <c r="C14" s="79">
        <v>20</v>
      </c>
      <c r="D14" s="79">
        <v>21</v>
      </c>
      <c r="E14" s="7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Feuil2</vt:lpstr>
      <vt:lpstr>Check List</vt:lpstr>
      <vt:lpstr>Smoothing</vt:lpstr>
      <vt:lpstr>Feuil1</vt:lpstr>
      <vt:lpstr>ErrorMargin</vt:lpstr>
      <vt:lpstr>Clusters Anova</vt:lpstr>
      <vt:lpstr>Clusters Median</vt:lpstr>
      <vt:lpstr>Clusters Factory</vt:lpstr>
      <vt:lpstr>Clusters_1</vt:lpstr>
      <vt:lpstr>CompleteLinkage</vt:lpstr>
      <vt:lpstr>tbl_Clusters</vt:lpstr>
      <vt:lpstr>tbl_Clusters_Items</vt:lpstr>
      <vt:lpstr>tbl_Clusters_Distances</vt:lpstr>
      <vt:lpstr>tree_graph</vt:lpstr>
      <vt:lpstr>tree_table</vt:lpstr>
      <vt:lpstr>rng_ClustersDetails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2013-03-13T11:58:12Z</dcterms:created>
  <dcterms:modified xsi:type="dcterms:W3CDTF">2026-07-07T13:05:40Z</dcterms:modified>
</cp:coreProperties>
</file>